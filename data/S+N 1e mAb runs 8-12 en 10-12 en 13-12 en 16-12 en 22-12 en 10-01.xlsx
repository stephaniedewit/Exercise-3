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https://d.docs.live.net/76ceab0919001f1c/Bureaublad/"/>
    </mc:Choice>
  </mc:AlternateContent>
  <xr:revisionPtr revIDLastSave="0" documentId="11_00BC061B1B494BEE4B7AED7653C489B9DAD60719" xr6:coauthVersionLast="47" xr6:coauthVersionMax="47" xr10:uidLastSave="{00000000-0000-0000-0000-000000000000}"/>
  <bookViews>
    <workbookView xWindow="1520" yWindow="240" windowWidth="8900" windowHeight="9930" activeTab="3" xr2:uid="{00000000-000D-0000-FFFF-FFFF00000000}"/>
  </bookViews>
  <sheets>
    <sheet name="Sheet5" sheetId="2" r:id="rId1"/>
    <sheet name="Sheet1" sheetId="3" r:id="rId2"/>
    <sheet name="Sheet2" sheetId="4" r:id="rId3"/>
    <sheet name="Sheet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0" i="5" l="1"/>
  <c r="O31" i="5" l="1"/>
  <c r="O32" i="5" s="1"/>
  <c r="N30" i="5"/>
  <c r="G35" i="5"/>
  <c r="G36" i="5" s="1"/>
  <c r="N35" i="5"/>
  <c r="N36" i="5" s="1"/>
  <c r="O35" i="5"/>
  <c r="O36" i="5" s="1"/>
  <c r="G31" i="5"/>
  <c r="G32" i="5" s="1"/>
  <c r="N31" i="5"/>
  <c r="N32" i="5" s="1"/>
  <c r="M34" i="5"/>
  <c r="M35" i="5" s="1"/>
  <c r="M36" i="5" s="1"/>
  <c r="M30" i="5"/>
  <c r="M31" i="5" s="1"/>
  <c r="M32" i="5" s="1"/>
  <c r="L34" i="5"/>
  <c r="L35" i="5" s="1"/>
  <c r="L36" i="5" s="1"/>
  <c r="J34" i="5"/>
  <c r="J35" i="5" s="1"/>
  <c r="J36" i="5" s="1"/>
  <c r="L30" i="5"/>
  <c r="L31" i="5" s="1"/>
  <c r="L32" i="5" s="1"/>
  <c r="J30" i="5"/>
  <c r="J31" i="5" s="1"/>
  <c r="J32" i="5" s="1"/>
  <c r="K34" i="5"/>
  <c r="K35" i="5" s="1"/>
  <c r="K36" i="5" s="1"/>
  <c r="F35" i="5"/>
  <c r="F36" i="5" s="1"/>
  <c r="I34" i="5"/>
  <c r="I35" i="5" s="1"/>
  <c r="I36" i="5" s="1"/>
  <c r="H34" i="5"/>
  <c r="H35" i="5" s="1"/>
  <c r="H36" i="5" s="1"/>
  <c r="F31" i="5"/>
  <c r="F32" i="5" s="1"/>
  <c r="K30" i="5"/>
  <c r="K31" i="5" s="1"/>
  <c r="K32" i="5" s="1"/>
  <c r="I30" i="5"/>
  <c r="I31" i="5" s="1"/>
  <c r="I32" i="5" s="1"/>
  <c r="H30" i="5"/>
  <c r="H31" i="5" s="1"/>
  <c r="H32" i="5" s="1"/>
  <c r="P51" i="4" l="1"/>
  <c r="P46" i="4"/>
  <c r="O46" i="4"/>
  <c r="O31" i="4"/>
  <c r="N51" i="4"/>
  <c r="N46" i="4"/>
  <c r="N47" i="4"/>
  <c r="N48" i="4" s="1"/>
  <c r="P35" i="4"/>
  <c r="P36" i="4" s="1"/>
  <c r="P37" i="4" s="1"/>
  <c r="S27" i="4"/>
  <c r="S26" i="4"/>
  <c r="Q27" i="4"/>
  <c r="O27" i="4"/>
  <c r="Q26" i="4"/>
  <c r="O26" i="4"/>
  <c r="K51" i="4"/>
  <c r="E51" i="4"/>
  <c r="F35" i="4" l="1"/>
  <c r="F36" i="4" s="1"/>
  <c r="F37" i="4" s="1"/>
  <c r="F31" i="4"/>
  <c r="I51" i="4"/>
  <c r="E52" i="4"/>
  <c r="E53" i="4" s="1"/>
  <c r="P52" i="4"/>
  <c r="P53" i="4" s="1"/>
  <c r="O51" i="4"/>
  <c r="O52" i="4" s="1"/>
  <c r="O53" i="4" s="1"/>
  <c r="N52" i="4"/>
  <c r="N53" i="4" s="1"/>
  <c r="M51" i="4"/>
  <c r="M52" i="4" s="1"/>
  <c r="M53" i="4" s="1"/>
  <c r="L51" i="4"/>
  <c r="L52" i="4"/>
  <c r="L53" i="4" s="1"/>
  <c r="J51" i="4"/>
  <c r="J52" i="4" s="1"/>
  <c r="J53" i="4" s="1"/>
  <c r="H51" i="4"/>
  <c r="H52" i="4" s="1"/>
  <c r="H53" i="4" s="1"/>
  <c r="G51" i="4"/>
  <c r="G52" i="4" s="1"/>
  <c r="G53" i="4" s="1"/>
  <c r="F51" i="4"/>
  <c r="F52" i="4" s="1"/>
  <c r="F53" i="4" s="1"/>
  <c r="P47" i="4"/>
  <c r="P48" i="4" s="1"/>
  <c r="O47" i="4"/>
  <c r="O48" i="4" s="1"/>
  <c r="M46" i="4"/>
  <c r="M47" i="4" s="1"/>
  <c r="M48" i="4" s="1"/>
  <c r="L46" i="4"/>
  <c r="L47" i="4" s="1"/>
  <c r="L48" i="4" s="1"/>
  <c r="K46" i="4"/>
  <c r="K47" i="4" s="1"/>
  <c r="K48" i="4" s="1"/>
  <c r="J46" i="4"/>
  <c r="J47" i="4" s="1"/>
  <c r="J48" i="4" s="1"/>
  <c r="I46" i="4"/>
  <c r="I47" i="4" s="1"/>
  <c r="I48" i="4" s="1"/>
  <c r="H46" i="4"/>
  <c r="H47" i="4" s="1"/>
  <c r="H48" i="4" s="1"/>
  <c r="G46" i="4"/>
  <c r="G47" i="4" s="1"/>
  <c r="G48" i="4" s="1"/>
  <c r="F46" i="4"/>
  <c r="F47" i="4" s="1"/>
  <c r="F48" i="4" s="1"/>
  <c r="O35" i="4"/>
  <c r="O36" i="4" s="1"/>
  <c r="O37" i="4" s="1"/>
  <c r="N35" i="4"/>
  <c r="M35" i="4"/>
  <c r="L35" i="4"/>
  <c r="L36" i="4" s="1"/>
  <c r="L37" i="4" s="1"/>
  <c r="K35" i="4"/>
  <c r="K36" i="4" s="1"/>
  <c r="K37" i="4" s="1"/>
  <c r="J35" i="4"/>
  <c r="J36" i="4" s="1"/>
  <c r="J37" i="4" s="1"/>
  <c r="I35" i="4"/>
  <c r="I36" i="4" s="1"/>
  <c r="I37" i="4" s="1"/>
  <c r="H35" i="4"/>
  <c r="H36" i="4" s="1"/>
  <c r="H37" i="4" s="1"/>
  <c r="G35" i="4"/>
  <c r="G36" i="4" s="1"/>
  <c r="G37" i="4" s="1"/>
  <c r="P31" i="4"/>
  <c r="P32" i="4" s="1"/>
  <c r="P33" i="4" s="1"/>
  <c r="O32" i="4"/>
  <c r="O33" i="4" s="1"/>
  <c r="N31" i="4"/>
  <c r="N32" i="4" s="1"/>
  <c r="N33" i="4" s="1"/>
  <c r="M31" i="4"/>
  <c r="M32" i="4" s="1"/>
  <c r="M33" i="4" s="1"/>
  <c r="L31" i="4"/>
  <c r="L32" i="4" s="1"/>
  <c r="L33" i="4" s="1"/>
  <c r="K31" i="4"/>
  <c r="K32" i="4" s="1"/>
  <c r="K33" i="4" s="1"/>
  <c r="J31" i="4"/>
  <c r="J32" i="4" s="1"/>
  <c r="J33" i="4" s="1"/>
  <c r="I31" i="4"/>
  <c r="I32" i="4" s="1"/>
  <c r="I33" i="4" s="1"/>
  <c r="H31" i="4"/>
  <c r="H32" i="4" s="1"/>
  <c r="H33" i="4" s="1"/>
  <c r="G31" i="4"/>
  <c r="G32" i="4" s="1"/>
  <c r="G33" i="4" s="1"/>
  <c r="E31" i="4"/>
  <c r="E32" i="4" s="1"/>
  <c r="E33" i="4" s="1"/>
  <c r="F32" i="4" s="1"/>
  <c r="I52" i="4"/>
  <c r="I53" i="4" s="1"/>
  <c r="K52" i="4"/>
  <c r="K53" i="4" s="1"/>
  <c r="M36" i="4"/>
  <c r="M37" i="4" s="1"/>
  <c r="N36" i="4"/>
  <c r="N37" i="4" s="1"/>
  <c r="E46" i="4"/>
  <c r="E47" i="4" s="1"/>
  <c r="E48" i="4" s="1"/>
  <c r="E35" i="4"/>
  <c r="E36" i="4" s="1"/>
  <c r="E37" i="4" s="1"/>
  <c r="F33" i="4" l="1"/>
  <c r="K53" i="3"/>
  <c r="J52" i="3"/>
  <c r="J53" i="3" s="1"/>
  <c r="K52" i="3"/>
  <c r="L52" i="3"/>
  <c r="L53" i="3" s="1"/>
  <c r="M51" i="3"/>
  <c r="M52" i="3" s="1"/>
  <c r="M53" i="3" s="1"/>
  <c r="L51" i="3"/>
  <c r="K51" i="3"/>
  <c r="J51" i="3"/>
  <c r="I51" i="3"/>
  <c r="I52" i="3" s="1"/>
  <c r="I53" i="3" s="1"/>
  <c r="H51" i="3"/>
  <c r="H52" i="3" s="1"/>
  <c r="H53" i="3" s="1"/>
  <c r="G51" i="3"/>
  <c r="G52" i="3" s="1"/>
  <c r="G53" i="3" s="1"/>
  <c r="F51" i="3"/>
  <c r="F52" i="3" s="1"/>
  <c r="F53" i="3" s="1"/>
  <c r="E51" i="3"/>
  <c r="E52" i="3" s="1"/>
  <c r="E53" i="3" s="1"/>
  <c r="J46" i="3"/>
  <c r="J47" i="3" s="1"/>
  <c r="J48" i="3" s="1"/>
  <c r="L46" i="3"/>
  <c r="L35" i="3"/>
  <c r="L36" i="3" s="1"/>
  <c r="L37" i="3" s="1"/>
  <c r="M31" i="3"/>
  <c r="M32" i="3" s="1"/>
  <c r="M33" i="3" s="1"/>
  <c r="L31" i="3"/>
  <c r="L32" i="3" s="1"/>
  <c r="L33" i="3" s="1"/>
  <c r="H47" i="3"/>
  <c r="H48" i="3" s="1"/>
  <c r="L47" i="3"/>
  <c r="L48" i="3" s="1"/>
  <c r="M46" i="3"/>
  <c r="M47" i="3" s="1"/>
  <c r="M48" i="3" s="1"/>
  <c r="K46" i="3"/>
  <c r="K47" i="3" s="1"/>
  <c r="K48" i="3" s="1"/>
  <c r="I46" i="3"/>
  <c r="I47" i="3" s="1"/>
  <c r="I48" i="3" s="1"/>
  <c r="H46" i="3"/>
  <c r="G46" i="3"/>
  <c r="G47" i="3" s="1"/>
  <c r="G48" i="3" s="1"/>
  <c r="F46" i="3"/>
  <c r="F47" i="3" s="1"/>
  <c r="F48" i="3" s="1"/>
  <c r="E46" i="3"/>
  <c r="E47" i="3" s="1"/>
  <c r="E48" i="3" s="1"/>
  <c r="M35" i="3"/>
  <c r="M36" i="3" s="1"/>
  <c r="M37" i="3" s="1"/>
  <c r="K35" i="3"/>
  <c r="K36" i="3" s="1"/>
  <c r="K37" i="3" s="1"/>
  <c r="J35" i="3"/>
  <c r="J36" i="3" s="1"/>
  <c r="J37" i="3" s="1"/>
  <c r="I35" i="3"/>
  <c r="I36" i="3" s="1"/>
  <c r="I37" i="3" s="1"/>
  <c r="H35" i="3"/>
  <c r="H36" i="3" s="1"/>
  <c r="H37" i="3" s="1"/>
  <c r="G35" i="3"/>
  <c r="G36" i="3" s="1"/>
  <c r="G37" i="3" s="1"/>
  <c r="K31" i="3"/>
  <c r="K32" i="3" s="1"/>
  <c r="K33" i="3" s="1"/>
  <c r="J31" i="3"/>
  <c r="J32" i="3" s="1"/>
  <c r="J33" i="3" s="1"/>
  <c r="I31" i="3"/>
  <c r="I32" i="3" s="1"/>
  <c r="I33" i="3" s="1"/>
  <c r="H31" i="3"/>
  <c r="H32" i="3" s="1"/>
  <c r="H33" i="3" s="1"/>
  <c r="G31" i="3"/>
  <c r="G32" i="3" s="1"/>
  <c r="G33" i="3" s="1"/>
  <c r="F31" i="3"/>
  <c r="F32" i="3" s="1"/>
  <c r="F33" i="3" s="1"/>
  <c r="E31" i="3"/>
  <c r="E32" i="3" s="1"/>
  <c r="E33" i="3" s="1"/>
  <c r="F36" i="3"/>
  <c r="F37" i="3" s="1"/>
  <c r="E36" i="3"/>
  <c r="E37" i="3" s="1"/>
  <c r="F35" i="3"/>
  <c r="E35" i="3"/>
</calcChain>
</file>

<file path=xl/sharedStrings.xml><?xml version="1.0" encoding="utf-8"?>
<sst xmlns="http://schemas.openxmlformats.org/spreadsheetml/2006/main" count="505" uniqueCount="69">
  <si>
    <t>Run</t>
  </si>
  <si>
    <t>date</t>
  </si>
  <si>
    <t>by</t>
  </si>
  <si>
    <t>S+N</t>
  </si>
  <si>
    <t>start (time)</t>
  </si>
  <si>
    <t>Sample</t>
  </si>
  <si>
    <t>sample</t>
  </si>
  <si>
    <t xml:space="preserve">conc </t>
  </si>
  <si>
    <t>inj vol (µl)</t>
  </si>
  <si>
    <t>inj qty</t>
  </si>
  <si>
    <t>LC</t>
  </si>
  <si>
    <t>flow (ml/min)</t>
  </si>
  <si>
    <t>UV detector</t>
  </si>
  <si>
    <t>mode</t>
  </si>
  <si>
    <t>C.F</t>
  </si>
  <si>
    <t>wavelength (nm)</t>
  </si>
  <si>
    <t>range</t>
  </si>
  <si>
    <t>response</t>
  </si>
  <si>
    <t>UV results</t>
  </si>
  <si>
    <t>peak (min)</t>
  </si>
  <si>
    <t>20 µl</t>
  </si>
  <si>
    <t>5 µg</t>
  </si>
  <si>
    <t>250 ng/µL</t>
  </si>
  <si>
    <t>Wt 0% 24h</t>
  </si>
  <si>
    <t>Wt 1% 24h</t>
  </si>
  <si>
    <t>RGY 0% 24h</t>
  </si>
  <si>
    <t>Total</t>
  </si>
  <si>
    <t>5 µl</t>
  </si>
  <si>
    <t>1,25 µg</t>
  </si>
  <si>
    <t>RGY 1% 24h</t>
  </si>
  <si>
    <t>RGY 0% 6h</t>
  </si>
  <si>
    <t>RGY 1% 6h</t>
  </si>
  <si>
    <t>RGY 0% 1h</t>
  </si>
  <si>
    <t>RGY 1% 1h</t>
  </si>
  <si>
    <t xml:space="preserve">  </t>
  </si>
  <si>
    <t>S</t>
  </si>
  <si>
    <t>RGY stock</t>
  </si>
  <si>
    <t>Wt stock</t>
  </si>
  <si>
    <t>~1,1 µg/µL</t>
  </si>
  <si>
    <t>~566 ng/µL</t>
  </si>
  <si>
    <t>~22 µg</t>
  </si>
  <si>
    <t>~11 µg</t>
  </si>
  <si>
    <t>L-meth stock</t>
  </si>
  <si>
    <t>2,5 µg/µL</t>
  </si>
  <si>
    <t>50 µg</t>
  </si>
  <si>
    <t xml:space="preserve"> </t>
  </si>
  <si>
    <t>RGY 0,1% 1h</t>
  </si>
  <si>
    <t>RGY 0,05% 1h</t>
  </si>
  <si>
    <t>RGY 0,01% 1h</t>
  </si>
  <si>
    <t>Elutievolume (mL)</t>
  </si>
  <si>
    <t>Molmassa volgens de ijklijn (kDa)</t>
  </si>
  <si>
    <t>Retentietijd 'monomeer-piek' (min)</t>
  </si>
  <si>
    <t>Retentietijd 'hexameer-piek' (min)</t>
  </si>
  <si>
    <t>ijklijn formule</t>
  </si>
  <si>
    <t>y = -0,3286x + 8,1001</t>
  </si>
  <si>
    <t>Retentietijd 'piek-Y' (min)</t>
  </si>
  <si>
    <t>Retentietijd 'piek-Z' (min)</t>
  </si>
  <si>
    <t>Molmassa volgens de ijklijn (Da)</t>
  </si>
  <si>
    <t>RGY 1:100 1h</t>
  </si>
  <si>
    <t>RGY 1:10 1h</t>
  </si>
  <si>
    <t>RGY 1:1 1h</t>
  </si>
  <si>
    <t>WT 1% 1h</t>
  </si>
  <si>
    <t>H2O2 0,1%</t>
  </si>
  <si>
    <t>hexa</t>
  </si>
  <si>
    <t>mono</t>
  </si>
  <si>
    <t>0,1% H2O2</t>
  </si>
  <si>
    <t>ijklijn formule y = -0,3286x + 8,1001</t>
  </si>
  <si>
    <t>-</t>
  </si>
  <si>
    <t>WT 0% 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</si>
</sst>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2" xfId="0" applyFill="1" applyBorder="1" applyAlignment="1">
      <alignment horizontal="left" vertical="center"/>
    </xf>
    <xf numFmtId="15" fontId="0" fillId="2" borderId="3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 applyAlignment="1">
      <alignment horizontal="left" vertical="center"/>
    </xf>
    <xf numFmtId="15" fontId="0" fillId="2" borderId="7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20" fontId="0" fillId="2" borderId="7" xfId="0" applyNumberFormat="1" applyFill="1" applyBorder="1" applyAlignment="1">
      <alignment horizontal="center" vertical="center"/>
    </xf>
    <xf numFmtId="0" fontId="0" fillId="3" borderId="0" xfId="0" applyFill="1" applyBorder="1" applyAlignment="1">
      <alignment horizontal="left" vertical="center"/>
    </xf>
    <xf numFmtId="0" fontId="0" fillId="4" borderId="7" xfId="0" applyFill="1" applyBorder="1" applyAlignment="1">
      <alignment horizontal="center"/>
    </xf>
    <xf numFmtId="0" fontId="0" fillId="2" borderId="6" xfId="0" applyFill="1" applyBorder="1" applyAlignment="1">
      <alignment horizontal="left" vertical="center"/>
    </xf>
    <xf numFmtId="0" fontId="0" fillId="4" borderId="0" xfId="0" applyFill="1" applyBorder="1" applyAlignment="1">
      <alignment horizontal="center"/>
    </xf>
    <xf numFmtId="0" fontId="0" fillId="5" borderId="0" xfId="0" applyFill="1" applyBorder="1" applyAlignment="1">
      <alignment horizontal="left" vertic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164" fontId="0" fillId="0" borderId="7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5" borderId="11" xfId="0" applyFill="1" applyBorder="1" applyAlignment="1">
      <alignment horizontal="left" vertical="center"/>
    </xf>
    <xf numFmtId="0" fontId="0" fillId="0" borderId="12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15" fontId="0" fillId="2" borderId="0" xfId="0" applyNumberFormat="1" applyFill="1" applyBorder="1" applyAlignment="1">
      <alignment horizontal="center" vertical="center"/>
    </xf>
    <xf numFmtId="20" fontId="0" fillId="2" borderId="0" xfId="0" applyNumberForma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5" fontId="0" fillId="2" borderId="15" xfId="0" applyNumberFormat="1" applyFill="1" applyBorder="1" applyAlignment="1">
      <alignment horizontal="center" vertical="center"/>
    </xf>
    <xf numFmtId="0" fontId="0" fillId="0" borderId="16" xfId="0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Border="1"/>
    <xf numFmtId="0" fontId="0" fillId="2" borderId="6" xfId="0" applyFill="1" applyBorder="1" applyAlignment="1">
      <alignment horizontal="left" vertic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2" borderId="6" xfId="0" applyFill="1" applyBorder="1" applyAlignment="1">
      <alignment horizontal="left" vertical="center"/>
    </xf>
    <xf numFmtId="0" fontId="0" fillId="6" borderId="0" xfId="0" applyFill="1"/>
    <xf numFmtId="20" fontId="0" fillId="2" borderId="8" xfId="0" applyNumberFormat="1" applyFill="1" applyBorder="1" applyAlignment="1">
      <alignment horizontal="center" vertical="center"/>
    </xf>
    <xf numFmtId="20" fontId="0" fillId="4" borderId="0" xfId="0" applyNumberFormat="1" applyFill="1" applyBorder="1" applyAlignment="1">
      <alignment horizontal="center" vertical="center"/>
    </xf>
    <xf numFmtId="20" fontId="0" fillId="4" borderId="7" xfId="0" applyNumberFormat="1" applyFill="1" applyBorder="1" applyAlignment="1">
      <alignment horizontal="center" vertical="center"/>
    </xf>
    <xf numFmtId="0" fontId="3" fillId="6" borderId="0" xfId="0" applyFont="1" applyFill="1"/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7" borderId="0" xfId="0" applyFill="1"/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1"/>
  <sheetViews>
    <sheetView topLeftCell="S1" workbookViewId="0">
      <selection activeCell="T28" sqref="T28"/>
    </sheetView>
  </sheetViews>
  <sheetFormatPr defaultRowHeight="14.5" x14ac:dyDescent="0.35"/>
  <cols>
    <col min="2" max="2" width="17.26953125" customWidth="1"/>
    <col min="3" max="3" width="9.7265625" bestFit="1" customWidth="1"/>
    <col min="4" max="4" width="9.26953125" customWidth="1"/>
    <col min="5" max="5" width="9.7265625" bestFit="1" customWidth="1"/>
    <col min="7" max="7" width="12.1796875" customWidth="1"/>
    <col min="8" max="8" width="9.1796875" customWidth="1"/>
    <col min="9" max="9" width="11.453125" customWidth="1"/>
    <col min="11" max="11" width="9.7265625" customWidth="1"/>
    <col min="12" max="12" width="9.26953125" customWidth="1"/>
    <col min="13" max="13" width="10.81640625" customWidth="1"/>
    <col min="15" max="15" width="11" customWidth="1"/>
    <col min="16" max="16" width="9.81640625" customWidth="1"/>
    <col min="17" max="17" width="12" customWidth="1"/>
    <col min="19" max="19" width="9.54296875" bestFit="1" customWidth="1"/>
    <col min="21" max="21" width="9.54296875" bestFit="1" customWidth="1"/>
    <col min="23" max="23" width="9.54296875" bestFit="1" customWidth="1"/>
    <col min="25" max="25" width="10.54296875" customWidth="1"/>
    <col min="27" max="27" width="9.54296875" bestFit="1" customWidth="1"/>
    <col min="29" max="29" width="9.54296875" bestFit="1" customWidth="1"/>
    <col min="31" max="31" width="9.54296875" bestFit="1" customWidth="1"/>
    <col min="33" max="33" width="9.54296875" bestFit="1" customWidth="1"/>
    <col min="35" max="35" width="11.54296875" customWidth="1"/>
    <col min="37" max="37" width="10.453125" customWidth="1"/>
    <col min="39" max="39" width="11.26953125" customWidth="1"/>
    <col min="41" max="41" width="11.26953125" customWidth="1"/>
    <col min="43" max="43" width="12" customWidth="1"/>
  </cols>
  <sheetData>
    <row r="1" spans="1:44" x14ac:dyDescent="0.35">
      <c r="A1" s="51" t="s">
        <v>0</v>
      </c>
      <c r="B1" s="1" t="s">
        <v>1</v>
      </c>
      <c r="C1" s="2">
        <v>44538</v>
      </c>
      <c r="D1" s="3"/>
      <c r="E1" s="32">
        <v>44538</v>
      </c>
      <c r="F1" s="3"/>
      <c r="G1" s="32">
        <v>44538</v>
      </c>
      <c r="H1" s="4"/>
      <c r="I1" s="32">
        <v>44538</v>
      </c>
      <c r="J1" s="3"/>
      <c r="K1" s="32">
        <v>44538</v>
      </c>
      <c r="L1" s="3"/>
      <c r="M1" s="32">
        <v>44540</v>
      </c>
      <c r="N1" s="3"/>
      <c r="O1" s="32">
        <v>44540</v>
      </c>
      <c r="P1" s="3"/>
      <c r="Q1" s="32">
        <v>44540</v>
      </c>
      <c r="R1" s="3"/>
      <c r="S1" s="32">
        <v>44540</v>
      </c>
      <c r="T1" s="3"/>
      <c r="U1" s="32">
        <v>44540</v>
      </c>
      <c r="V1" s="3"/>
      <c r="W1" s="32">
        <v>44540</v>
      </c>
      <c r="X1" s="4"/>
      <c r="Y1" s="32">
        <v>44540</v>
      </c>
      <c r="Z1" s="3"/>
      <c r="AA1" s="32">
        <v>44543</v>
      </c>
      <c r="AB1" s="3"/>
      <c r="AC1" s="32">
        <v>44543</v>
      </c>
      <c r="AD1" s="4"/>
      <c r="AE1" s="32">
        <v>44543</v>
      </c>
      <c r="AF1" s="3"/>
      <c r="AG1" s="32">
        <v>44543</v>
      </c>
      <c r="AH1" s="4"/>
      <c r="AI1" s="32">
        <v>44543</v>
      </c>
      <c r="AJ1" s="3"/>
      <c r="AK1" s="32">
        <v>44543</v>
      </c>
      <c r="AL1" s="4"/>
      <c r="AM1" s="32">
        <v>44543</v>
      </c>
      <c r="AN1" s="4"/>
      <c r="AO1" s="32">
        <v>44543</v>
      </c>
      <c r="AP1" s="4"/>
      <c r="AQ1" s="32">
        <v>44543</v>
      </c>
      <c r="AR1" s="4"/>
    </row>
    <row r="2" spans="1:44" x14ac:dyDescent="0.35">
      <c r="A2" s="52"/>
      <c r="B2" s="5" t="s">
        <v>2</v>
      </c>
      <c r="C2" s="6" t="s">
        <v>3</v>
      </c>
      <c r="D2" s="7"/>
      <c r="E2" s="27" t="s">
        <v>3</v>
      </c>
      <c r="F2" s="7"/>
      <c r="G2" s="27" t="s">
        <v>3</v>
      </c>
      <c r="H2" s="8"/>
      <c r="I2" s="27" t="s">
        <v>3</v>
      </c>
      <c r="J2" s="7"/>
      <c r="K2" s="27" t="s">
        <v>3</v>
      </c>
      <c r="L2" s="7"/>
      <c r="M2" s="27" t="s">
        <v>3</v>
      </c>
      <c r="N2" s="7"/>
      <c r="O2" s="27" t="s">
        <v>3</v>
      </c>
      <c r="P2" s="7"/>
      <c r="Q2" s="27" t="s">
        <v>3</v>
      </c>
      <c r="R2" s="7"/>
      <c r="S2" s="27" t="s">
        <v>3</v>
      </c>
      <c r="T2" s="7"/>
      <c r="U2" s="27" t="s">
        <v>3</v>
      </c>
      <c r="V2" s="7"/>
      <c r="W2" s="27" t="s">
        <v>3</v>
      </c>
      <c r="X2" s="8"/>
      <c r="Y2" s="27" t="s">
        <v>3</v>
      </c>
      <c r="Z2" s="7"/>
      <c r="AA2" s="27" t="s">
        <v>35</v>
      </c>
      <c r="AB2" s="7"/>
      <c r="AC2" s="27" t="s">
        <v>35</v>
      </c>
      <c r="AD2" s="8"/>
      <c r="AE2" s="27" t="s">
        <v>35</v>
      </c>
      <c r="AF2" s="7"/>
      <c r="AG2" s="27" t="s">
        <v>35</v>
      </c>
      <c r="AH2" s="8"/>
      <c r="AI2" s="27" t="s">
        <v>35</v>
      </c>
      <c r="AJ2" s="7"/>
      <c r="AK2" s="27" t="s">
        <v>35</v>
      </c>
      <c r="AL2" s="8"/>
      <c r="AM2" s="27" t="s">
        <v>35</v>
      </c>
      <c r="AN2" s="8"/>
      <c r="AO2" s="27" t="s">
        <v>35</v>
      </c>
      <c r="AP2" s="8"/>
      <c r="AQ2" s="27" t="s">
        <v>35</v>
      </c>
      <c r="AR2" s="8"/>
    </row>
    <row r="3" spans="1:44" x14ac:dyDescent="0.35">
      <c r="A3" s="52"/>
      <c r="B3" s="5" t="s">
        <v>4</v>
      </c>
      <c r="C3" s="9">
        <v>0.58194444444444449</v>
      </c>
      <c r="D3" s="7"/>
      <c r="E3" s="28">
        <v>0.59930555555555554</v>
      </c>
      <c r="F3" s="7"/>
      <c r="G3" s="28">
        <v>0.62847222222222221</v>
      </c>
      <c r="H3" s="8"/>
      <c r="I3" s="28">
        <v>0.65208333333333335</v>
      </c>
      <c r="J3" s="7"/>
      <c r="K3" s="28">
        <v>0.67152777777777783</v>
      </c>
      <c r="L3" s="7"/>
      <c r="M3" s="28">
        <v>0.54999999999999993</v>
      </c>
      <c r="N3" s="7"/>
      <c r="O3" s="28">
        <v>0.56736111111111109</v>
      </c>
      <c r="P3" s="7"/>
      <c r="Q3" s="28">
        <v>0.59930555555555554</v>
      </c>
      <c r="R3" s="7"/>
      <c r="S3" s="28">
        <v>0.61736111111111114</v>
      </c>
      <c r="T3" s="7"/>
      <c r="U3" s="28">
        <v>0.63472222222222219</v>
      </c>
      <c r="V3" s="7"/>
      <c r="W3" s="28">
        <v>0.65208333333333335</v>
      </c>
      <c r="X3" s="8"/>
      <c r="Y3" s="28">
        <v>0.6743055555555556</v>
      </c>
      <c r="Z3" s="7"/>
      <c r="AA3" s="28">
        <v>0.44236111111111115</v>
      </c>
      <c r="AB3" s="7"/>
      <c r="AC3" s="28">
        <v>0.4604166666666667</v>
      </c>
      <c r="AD3" s="8"/>
      <c r="AE3" s="28">
        <v>0.48958333333333331</v>
      </c>
      <c r="AF3" s="7"/>
      <c r="AG3" s="28">
        <v>0.5083333333333333</v>
      </c>
      <c r="AH3" s="8"/>
      <c r="AI3" s="28">
        <v>0.52638888888888891</v>
      </c>
      <c r="AJ3" s="7"/>
      <c r="AK3" s="28">
        <v>0.5444444444444444</v>
      </c>
      <c r="AL3" s="8"/>
      <c r="AM3" s="28">
        <v>0.5625</v>
      </c>
      <c r="AN3" s="8"/>
      <c r="AO3" s="28">
        <v>0.58124999999999993</v>
      </c>
      <c r="AP3" s="8"/>
      <c r="AQ3" s="28">
        <v>0.59930555555555554</v>
      </c>
      <c r="AR3" s="8"/>
    </row>
    <row r="4" spans="1:44" x14ac:dyDescent="0.35">
      <c r="A4" s="53" t="s">
        <v>5</v>
      </c>
      <c r="B4" s="10" t="s">
        <v>6</v>
      </c>
      <c r="C4" s="35" t="s">
        <v>23</v>
      </c>
      <c r="D4" s="16"/>
      <c r="E4" s="35" t="s">
        <v>23</v>
      </c>
      <c r="F4" s="16"/>
      <c r="G4" s="35" t="s">
        <v>23</v>
      </c>
      <c r="H4" s="17"/>
      <c r="I4" s="36" t="s">
        <v>24</v>
      </c>
      <c r="J4" s="16"/>
      <c r="K4" s="36" t="s">
        <v>24</v>
      </c>
      <c r="L4" s="16"/>
      <c r="M4" s="36" t="s">
        <v>25</v>
      </c>
      <c r="N4" s="16"/>
      <c r="O4" s="36" t="s">
        <v>29</v>
      </c>
      <c r="P4" s="16"/>
      <c r="Q4" s="36" t="s">
        <v>30</v>
      </c>
      <c r="R4" s="16"/>
      <c r="S4" s="36" t="s">
        <v>31</v>
      </c>
      <c r="T4" s="16"/>
      <c r="U4" s="36" t="s">
        <v>32</v>
      </c>
      <c r="V4" s="16"/>
      <c r="W4" s="36" t="s">
        <v>33</v>
      </c>
      <c r="X4" s="17"/>
      <c r="Y4" s="36" t="s">
        <v>25</v>
      </c>
      <c r="Z4" s="16"/>
      <c r="AA4" s="36" t="s">
        <v>36</v>
      </c>
      <c r="AB4" s="16"/>
      <c r="AC4" s="36" t="s">
        <v>37</v>
      </c>
      <c r="AD4" s="17"/>
      <c r="AE4" s="36" t="s">
        <v>36</v>
      </c>
      <c r="AF4" s="16"/>
      <c r="AG4" s="36" t="s">
        <v>37</v>
      </c>
      <c r="AH4" s="17"/>
      <c r="AI4" s="36" t="s">
        <v>29</v>
      </c>
      <c r="AJ4" s="16"/>
      <c r="AK4" s="36" t="s">
        <v>31</v>
      </c>
      <c r="AL4" s="17"/>
      <c r="AM4" s="36" t="s">
        <v>33</v>
      </c>
      <c r="AN4" s="17"/>
      <c r="AO4" s="36" t="s">
        <v>24</v>
      </c>
      <c r="AP4" s="17"/>
      <c r="AQ4" s="36" t="s">
        <v>42</v>
      </c>
      <c r="AR4" s="17"/>
    </row>
    <row r="5" spans="1:44" x14ac:dyDescent="0.35">
      <c r="A5" s="53"/>
      <c r="B5" s="10" t="s">
        <v>7</v>
      </c>
      <c r="C5" s="15" t="s">
        <v>22</v>
      </c>
      <c r="D5" s="16"/>
      <c r="E5" s="15" t="s">
        <v>22</v>
      </c>
      <c r="F5" s="16"/>
      <c r="G5" s="15" t="s">
        <v>22</v>
      </c>
      <c r="H5" s="17"/>
      <c r="I5" s="26" t="s">
        <v>22</v>
      </c>
      <c r="J5" s="16"/>
      <c r="K5" s="26" t="s">
        <v>22</v>
      </c>
      <c r="L5" s="16"/>
      <c r="M5" s="26" t="s">
        <v>22</v>
      </c>
      <c r="N5" s="16"/>
      <c r="O5" s="26" t="s">
        <v>22</v>
      </c>
      <c r="P5" s="16"/>
      <c r="Q5" s="26" t="s">
        <v>22</v>
      </c>
      <c r="R5" s="16"/>
      <c r="S5" s="26" t="s">
        <v>22</v>
      </c>
      <c r="T5" s="16"/>
      <c r="U5" s="26" t="s">
        <v>22</v>
      </c>
      <c r="V5" s="16"/>
      <c r="W5" s="26" t="s">
        <v>22</v>
      </c>
      <c r="X5" s="17"/>
      <c r="Y5" s="26" t="s">
        <v>22</v>
      </c>
      <c r="Z5" s="16"/>
      <c r="AA5" s="26" t="s">
        <v>38</v>
      </c>
      <c r="AB5" s="16"/>
      <c r="AC5" s="26" t="s">
        <v>39</v>
      </c>
      <c r="AD5" s="17"/>
      <c r="AE5" s="26" t="s">
        <v>38</v>
      </c>
      <c r="AF5" s="16"/>
      <c r="AG5" s="26" t="s">
        <v>39</v>
      </c>
      <c r="AH5" s="17"/>
      <c r="AI5" s="26" t="s">
        <v>22</v>
      </c>
      <c r="AJ5" s="16"/>
      <c r="AK5" s="26" t="s">
        <v>22</v>
      </c>
      <c r="AL5" s="17"/>
      <c r="AM5" s="26" t="s">
        <v>22</v>
      </c>
      <c r="AN5" s="17"/>
      <c r="AO5" s="26" t="s">
        <v>22</v>
      </c>
      <c r="AP5" s="17"/>
      <c r="AQ5" s="26" t="s">
        <v>43</v>
      </c>
      <c r="AR5" s="17"/>
    </row>
    <row r="6" spans="1:44" x14ac:dyDescent="0.35">
      <c r="A6" s="53"/>
      <c r="B6" s="10" t="s">
        <v>8</v>
      </c>
      <c r="C6" s="15" t="s">
        <v>20</v>
      </c>
      <c r="D6" s="16"/>
      <c r="E6" s="15" t="s">
        <v>20</v>
      </c>
      <c r="F6" s="16"/>
      <c r="G6" s="11" t="s">
        <v>27</v>
      </c>
      <c r="H6" s="17"/>
      <c r="I6" s="26" t="s">
        <v>20</v>
      </c>
      <c r="J6" s="16"/>
      <c r="K6" s="26" t="s">
        <v>20</v>
      </c>
      <c r="L6" s="16"/>
      <c r="M6" s="26" t="s">
        <v>20</v>
      </c>
      <c r="N6" s="16"/>
      <c r="O6" s="26" t="s">
        <v>20</v>
      </c>
      <c r="P6" s="16"/>
      <c r="Q6" s="26" t="s">
        <v>20</v>
      </c>
      <c r="R6" s="16"/>
      <c r="S6" s="26" t="s">
        <v>20</v>
      </c>
      <c r="T6" s="16"/>
      <c r="U6" s="26" t="s">
        <v>20</v>
      </c>
      <c r="V6" s="16"/>
      <c r="W6" s="26" t="s">
        <v>20</v>
      </c>
      <c r="X6" s="17"/>
      <c r="Y6" s="26" t="s">
        <v>20</v>
      </c>
      <c r="Z6" s="16"/>
      <c r="AA6" s="26" t="s">
        <v>20</v>
      </c>
      <c r="AB6" s="16"/>
      <c r="AC6" s="26" t="s">
        <v>20</v>
      </c>
      <c r="AD6" s="17"/>
      <c r="AE6" s="26" t="s">
        <v>20</v>
      </c>
      <c r="AF6" s="16"/>
      <c r="AG6" s="26" t="s">
        <v>20</v>
      </c>
      <c r="AH6" s="17"/>
      <c r="AI6" s="26" t="s">
        <v>20</v>
      </c>
      <c r="AJ6" s="16"/>
      <c r="AK6" s="26" t="s">
        <v>20</v>
      </c>
      <c r="AL6" s="17"/>
      <c r="AM6" s="26" t="s">
        <v>20</v>
      </c>
      <c r="AN6" s="17"/>
      <c r="AO6" s="26" t="s">
        <v>20</v>
      </c>
      <c r="AP6" s="17"/>
      <c r="AQ6" s="26" t="s">
        <v>20</v>
      </c>
      <c r="AR6" s="17"/>
    </row>
    <row r="7" spans="1:44" x14ac:dyDescent="0.35">
      <c r="A7" s="53"/>
      <c r="B7" s="10" t="s">
        <v>9</v>
      </c>
      <c r="C7" s="15" t="s">
        <v>21</v>
      </c>
      <c r="D7" s="16"/>
      <c r="E7" s="15" t="s">
        <v>21</v>
      </c>
      <c r="F7" s="16"/>
      <c r="G7" s="11" t="s">
        <v>28</v>
      </c>
      <c r="H7" s="17"/>
      <c r="I7" s="26" t="s">
        <v>21</v>
      </c>
      <c r="J7" s="16"/>
      <c r="K7" s="26" t="s">
        <v>21</v>
      </c>
      <c r="L7" s="16"/>
      <c r="M7" s="26" t="s">
        <v>21</v>
      </c>
      <c r="N7" s="16"/>
      <c r="O7" s="26" t="s">
        <v>21</v>
      </c>
      <c r="P7" s="16"/>
      <c r="Q7" s="26" t="s">
        <v>21</v>
      </c>
      <c r="R7" s="16"/>
      <c r="S7" s="26" t="s">
        <v>21</v>
      </c>
      <c r="T7" s="16"/>
      <c r="U7" s="26" t="s">
        <v>21</v>
      </c>
      <c r="V7" s="16"/>
      <c r="W7" s="26" t="s">
        <v>21</v>
      </c>
      <c r="X7" s="17"/>
      <c r="Y7" s="26" t="s">
        <v>21</v>
      </c>
      <c r="Z7" s="16"/>
      <c r="AA7" s="26" t="s">
        <v>40</v>
      </c>
      <c r="AB7" s="16"/>
      <c r="AC7" s="26" t="s">
        <v>41</v>
      </c>
      <c r="AD7" s="17"/>
      <c r="AE7" s="26" t="s">
        <v>40</v>
      </c>
      <c r="AF7" s="16"/>
      <c r="AG7" s="26" t="s">
        <v>41</v>
      </c>
      <c r="AH7" s="17"/>
      <c r="AI7" s="26" t="s">
        <v>21</v>
      </c>
      <c r="AJ7" s="16"/>
      <c r="AK7" s="26" t="s">
        <v>21</v>
      </c>
      <c r="AL7" s="17"/>
      <c r="AM7" s="26" t="s">
        <v>21</v>
      </c>
      <c r="AN7" s="17"/>
      <c r="AO7" s="26" t="s">
        <v>21</v>
      </c>
      <c r="AP7" s="17"/>
      <c r="AQ7" s="26" t="s">
        <v>44</v>
      </c>
      <c r="AR7" s="17"/>
    </row>
    <row r="8" spans="1:44" x14ac:dyDescent="0.35">
      <c r="A8" s="12" t="s">
        <v>10</v>
      </c>
      <c r="B8" s="5" t="s">
        <v>11</v>
      </c>
      <c r="C8" s="11">
        <v>0.5</v>
      </c>
      <c r="D8" s="16"/>
      <c r="E8" s="11">
        <v>0.5</v>
      </c>
      <c r="F8" s="16"/>
      <c r="G8" s="11">
        <v>0.75</v>
      </c>
      <c r="H8" s="17"/>
      <c r="I8" s="13">
        <v>0.75</v>
      </c>
      <c r="J8" s="16"/>
      <c r="K8" s="26">
        <v>0.75</v>
      </c>
      <c r="L8" s="16"/>
      <c r="M8" s="13">
        <v>0.6</v>
      </c>
      <c r="N8" s="16"/>
      <c r="O8" s="13">
        <v>0.75</v>
      </c>
      <c r="P8" s="16"/>
      <c r="Q8" s="13">
        <v>0.75</v>
      </c>
      <c r="R8" s="16"/>
      <c r="S8" s="13">
        <v>0.75</v>
      </c>
      <c r="T8" s="16"/>
      <c r="U8" s="13">
        <v>0.75</v>
      </c>
      <c r="V8" s="16"/>
      <c r="W8" s="13">
        <v>0.75</v>
      </c>
      <c r="X8" s="17"/>
      <c r="Y8" s="13">
        <v>0.75</v>
      </c>
      <c r="Z8" s="16"/>
      <c r="AA8" s="26">
        <v>0.75</v>
      </c>
      <c r="AB8" s="16"/>
      <c r="AC8" s="26">
        <v>0.75</v>
      </c>
      <c r="AD8" s="17"/>
      <c r="AE8" s="26">
        <v>0.75</v>
      </c>
      <c r="AF8" s="16"/>
      <c r="AG8" s="26">
        <v>0.75</v>
      </c>
      <c r="AH8" s="17"/>
      <c r="AI8" s="26">
        <v>0.75</v>
      </c>
      <c r="AJ8" s="16"/>
      <c r="AK8" s="26">
        <v>0.75</v>
      </c>
      <c r="AL8" s="17"/>
      <c r="AM8" s="26">
        <v>0.75</v>
      </c>
      <c r="AN8" s="17"/>
      <c r="AO8" s="26">
        <v>0.75</v>
      </c>
      <c r="AP8" s="17"/>
      <c r="AQ8" s="26">
        <v>0.75</v>
      </c>
      <c r="AR8" s="17"/>
    </row>
    <row r="9" spans="1:44" x14ac:dyDescent="0.35">
      <c r="A9" s="53" t="s">
        <v>12</v>
      </c>
      <c r="B9" s="10" t="s">
        <v>13</v>
      </c>
      <c r="C9" s="15" t="s">
        <v>14</v>
      </c>
      <c r="D9" s="16"/>
      <c r="E9" s="15" t="s">
        <v>14</v>
      </c>
      <c r="F9" s="16"/>
      <c r="G9" s="15" t="s">
        <v>14</v>
      </c>
      <c r="H9" s="17"/>
      <c r="I9" s="26" t="s">
        <v>14</v>
      </c>
      <c r="J9" s="16"/>
      <c r="K9" s="26" t="s">
        <v>14</v>
      </c>
      <c r="L9" s="16"/>
      <c r="M9" s="26" t="s">
        <v>14</v>
      </c>
      <c r="N9" s="16"/>
      <c r="O9" s="26" t="s">
        <v>14</v>
      </c>
      <c r="P9" s="16"/>
      <c r="Q9" s="26" t="s">
        <v>14</v>
      </c>
      <c r="R9" s="16"/>
      <c r="S9" s="26" t="s">
        <v>14</v>
      </c>
      <c r="T9" s="16"/>
      <c r="U9" s="26" t="s">
        <v>14</v>
      </c>
      <c r="V9" s="16"/>
      <c r="W9" s="26" t="s">
        <v>14</v>
      </c>
      <c r="X9" s="17"/>
      <c r="Y9" s="26" t="s">
        <v>14</v>
      </c>
      <c r="Z9" s="16"/>
      <c r="AA9" s="26" t="s">
        <v>14</v>
      </c>
      <c r="AB9" s="16"/>
      <c r="AC9" s="26" t="s">
        <v>14</v>
      </c>
      <c r="AD9" s="17"/>
      <c r="AE9" s="26" t="s">
        <v>14</v>
      </c>
      <c r="AF9" s="16"/>
      <c r="AG9" s="26" t="s">
        <v>14</v>
      </c>
      <c r="AH9" s="17"/>
      <c r="AI9" s="26" t="s">
        <v>14</v>
      </c>
      <c r="AJ9" s="16"/>
      <c r="AK9" s="26" t="s">
        <v>14</v>
      </c>
      <c r="AL9" s="17"/>
      <c r="AM9" s="26" t="s">
        <v>14</v>
      </c>
      <c r="AN9" s="17"/>
      <c r="AO9" s="26" t="s">
        <v>14</v>
      </c>
      <c r="AP9" s="17"/>
      <c r="AQ9" s="26" t="s">
        <v>14</v>
      </c>
      <c r="AR9" s="17"/>
    </row>
    <row r="10" spans="1:44" x14ac:dyDescent="0.35">
      <c r="A10" s="53"/>
      <c r="B10" s="10" t="s">
        <v>15</v>
      </c>
      <c r="C10" s="11">
        <v>214</v>
      </c>
      <c r="D10" s="16"/>
      <c r="E10" s="11">
        <v>214</v>
      </c>
      <c r="F10" s="16"/>
      <c r="G10" s="11">
        <v>280</v>
      </c>
      <c r="H10" s="17"/>
      <c r="I10" s="13">
        <v>214</v>
      </c>
      <c r="J10" s="16"/>
      <c r="K10" s="13">
        <v>280</v>
      </c>
      <c r="L10" s="16"/>
      <c r="M10" s="26">
        <v>280</v>
      </c>
      <c r="N10" s="16"/>
      <c r="O10" s="26">
        <v>280</v>
      </c>
      <c r="P10" s="16"/>
      <c r="Q10" s="26">
        <v>280</v>
      </c>
      <c r="R10" s="16"/>
      <c r="S10" s="26">
        <v>280</v>
      </c>
      <c r="T10" s="16"/>
      <c r="U10" s="26">
        <v>280</v>
      </c>
      <c r="V10" s="16"/>
      <c r="W10" s="26">
        <v>280</v>
      </c>
      <c r="X10" s="17"/>
      <c r="Y10" s="26">
        <v>280</v>
      </c>
      <c r="Z10" s="16"/>
      <c r="AA10" s="13">
        <v>280</v>
      </c>
      <c r="AB10" s="39"/>
      <c r="AC10" s="13">
        <v>280</v>
      </c>
      <c r="AD10" s="40"/>
      <c r="AE10" s="13">
        <v>214</v>
      </c>
      <c r="AF10" s="39"/>
      <c r="AG10" s="13">
        <v>214</v>
      </c>
      <c r="AH10" s="17"/>
      <c r="AI10" s="13">
        <v>214</v>
      </c>
      <c r="AJ10" s="39"/>
      <c r="AK10" s="13">
        <v>214</v>
      </c>
      <c r="AL10" s="17"/>
      <c r="AM10" s="13">
        <v>214</v>
      </c>
      <c r="AN10" s="17"/>
      <c r="AO10" s="13">
        <v>214</v>
      </c>
      <c r="AP10" s="17"/>
      <c r="AQ10" s="13">
        <v>214</v>
      </c>
      <c r="AR10" s="17"/>
    </row>
    <row r="11" spans="1:44" x14ac:dyDescent="0.35">
      <c r="A11" s="53"/>
      <c r="B11" s="10" t="s">
        <v>16</v>
      </c>
      <c r="C11" s="15"/>
      <c r="D11" s="16"/>
      <c r="E11" s="26"/>
      <c r="F11" s="16"/>
      <c r="G11" s="26"/>
      <c r="H11" s="17"/>
      <c r="I11" s="26"/>
      <c r="J11" s="16"/>
      <c r="K11" s="26"/>
      <c r="L11" s="16"/>
      <c r="M11" s="26"/>
      <c r="N11" s="16"/>
      <c r="O11" s="26"/>
      <c r="P11" s="16"/>
      <c r="Q11" s="26"/>
      <c r="R11" s="16"/>
      <c r="S11" s="26"/>
      <c r="T11" s="16"/>
      <c r="U11" s="26"/>
      <c r="V11" s="16"/>
      <c r="W11" s="26"/>
      <c r="X11" s="17"/>
      <c r="Y11" s="26"/>
      <c r="Z11" s="16"/>
      <c r="AA11" s="26"/>
      <c r="AB11" s="16"/>
      <c r="AC11" s="26"/>
      <c r="AD11" s="17"/>
      <c r="AE11" s="26"/>
      <c r="AF11" s="16"/>
      <c r="AG11" s="26"/>
      <c r="AH11" s="17"/>
      <c r="AI11" s="26"/>
      <c r="AJ11" s="16"/>
      <c r="AK11" s="26"/>
      <c r="AL11" s="17"/>
      <c r="AM11" s="26"/>
      <c r="AN11" s="17"/>
      <c r="AO11" s="26"/>
      <c r="AP11" s="17"/>
      <c r="AQ11" s="26"/>
      <c r="AR11" s="17"/>
    </row>
    <row r="12" spans="1:44" x14ac:dyDescent="0.35">
      <c r="A12" s="53"/>
      <c r="B12" s="10" t="s">
        <v>17</v>
      </c>
      <c r="C12" s="15"/>
      <c r="D12" s="16"/>
      <c r="E12" s="26"/>
      <c r="F12" s="16"/>
      <c r="G12" s="26"/>
      <c r="H12" s="17"/>
      <c r="I12" s="26"/>
      <c r="J12" s="16"/>
      <c r="K12" s="26"/>
      <c r="L12" s="16"/>
      <c r="M12" s="26"/>
      <c r="N12" s="16"/>
      <c r="O12" s="26"/>
      <c r="P12" s="16"/>
      <c r="Q12" s="26"/>
      <c r="R12" s="16"/>
      <c r="S12" s="26"/>
      <c r="T12" s="16"/>
      <c r="U12" s="26"/>
      <c r="V12" s="16"/>
      <c r="W12" s="26"/>
      <c r="X12" s="17"/>
      <c r="Y12" s="26"/>
      <c r="Z12" s="16"/>
      <c r="AA12" s="26"/>
      <c r="AB12" s="16"/>
      <c r="AC12" s="26"/>
      <c r="AD12" s="17"/>
      <c r="AE12" s="26"/>
      <c r="AF12" s="16"/>
      <c r="AG12" s="26"/>
      <c r="AH12" s="17"/>
      <c r="AI12" s="26"/>
      <c r="AJ12" s="16"/>
      <c r="AK12" s="26"/>
      <c r="AL12" s="17"/>
      <c r="AM12" s="26"/>
      <c r="AN12" s="17"/>
      <c r="AO12" s="26"/>
      <c r="AP12" s="17"/>
      <c r="AQ12" s="26"/>
      <c r="AR12" s="17"/>
    </row>
    <row r="13" spans="1:44" x14ac:dyDescent="0.35">
      <c r="A13" s="54" t="s">
        <v>18</v>
      </c>
      <c r="B13" s="14" t="s">
        <v>19</v>
      </c>
      <c r="C13" s="15"/>
      <c r="D13" s="16"/>
      <c r="E13" s="26"/>
      <c r="F13" s="16"/>
      <c r="G13" s="26"/>
      <c r="H13" s="17"/>
      <c r="I13" s="26"/>
      <c r="J13" s="16"/>
      <c r="K13" s="26"/>
      <c r="L13" s="16"/>
      <c r="M13" s="26"/>
      <c r="N13" s="16"/>
      <c r="O13" s="26"/>
      <c r="P13" s="16"/>
      <c r="Q13" s="29"/>
      <c r="R13" s="34"/>
      <c r="S13" s="26"/>
      <c r="T13" s="16"/>
      <c r="U13" s="26"/>
      <c r="V13" s="16"/>
      <c r="W13" s="26"/>
      <c r="X13" s="17"/>
      <c r="Y13" s="26"/>
      <c r="Z13" s="16"/>
      <c r="AA13" s="26"/>
      <c r="AB13" s="16"/>
      <c r="AC13" s="26"/>
      <c r="AD13" s="17"/>
      <c r="AE13" s="26"/>
      <c r="AF13" s="16"/>
      <c r="AG13" s="26"/>
      <c r="AH13" s="17"/>
      <c r="AI13" s="26"/>
      <c r="AJ13" s="16"/>
      <c r="AK13" s="26"/>
      <c r="AL13" s="17"/>
      <c r="AM13" s="26"/>
      <c r="AN13" s="17"/>
      <c r="AO13" s="26"/>
      <c r="AP13" s="17"/>
      <c r="AQ13" s="26"/>
      <c r="AR13" s="17"/>
    </row>
    <row r="14" spans="1:44" x14ac:dyDescent="0.35">
      <c r="A14" s="54"/>
      <c r="B14" s="14" t="s">
        <v>19</v>
      </c>
      <c r="C14" s="18"/>
      <c r="D14" s="19"/>
      <c r="E14" s="31"/>
      <c r="F14" s="19"/>
      <c r="G14" s="31"/>
      <c r="H14" s="20"/>
      <c r="I14" s="26"/>
      <c r="J14" s="16"/>
      <c r="K14" s="26"/>
      <c r="L14" s="16"/>
      <c r="M14" s="26"/>
      <c r="N14" s="16"/>
      <c r="O14" s="30"/>
      <c r="P14" s="19"/>
      <c r="Q14" s="26"/>
      <c r="R14" s="16"/>
      <c r="S14" s="26"/>
      <c r="T14" s="16"/>
      <c r="U14" s="30"/>
      <c r="V14" s="19"/>
      <c r="W14" s="30"/>
      <c r="X14" s="20"/>
      <c r="Y14" s="26"/>
      <c r="Z14" s="16"/>
      <c r="AA14" s="30"/>
      <c r="AB14" s="19"/>
      <c r="AC14" s="30"/>
      <c r="AD14" s="20"/>
      <c r="AE14" s="30"/>
      <c r="AF14" s="19"/>
      <c r="AG14" s="30"/>
      <c r="AH14" s="20"/>
      <c r="AI14" s="30"/>
      <c r="AJ14" s="19"/>
      <c r="AK14" s="30"/>
      <c r="AL14" s="20"/>
      <c r="AM14" s="30"/>
      <c r="AN14" s="20"/>
      <c r="AO14" s="30"/>
      <c r="AP14" s="20"/>
      <c r="AQ14" s="30"/>
      <c r="AR14" s="20"/>
    </row>
    <row r="15" spans="1:44" x14ac:dyDescent="0.35">
      <c r="A15" s="54"/>
      <c r="B15" s="14" t="s">
        <v>19</v>
      </c>
      <c r="C15" s="15"/>
      <c r="D15" s="16"/>
      <c r="E15" s="26"/>
      <c r="F15" s="16"/>
      <c r="G15" s="26"/>
      <c r="H15" s="17"/>
      <c r="I15" s="26"/>
      <c r="J15" s="16"/>
      <c r="K15" s="26"/>
      <c r="L15" s="16"/>
      <c r="M15" s="26"/>
      <c r="N15" s="16"/>
      <c r="O15" s="26"/>
      <c r="P15" s="16"/>
      <c r="Q15" s="26"/>
      <c r="R15" s="16"/>
      <c r="S15" s="26"/>
      <c r="T15" s="16"/>
      <c r="U15" s="26"/>
      <c r="V15" s="16"/>
      <c r="W15" s="26"/>
      <c r="X15" s="17"/>
      <c r="Y15" s="26"/>
      <c r="Z15" s="16"/>
      <c r="AA15" s="26"/>
      <c r="AB15" s="16"/>
      <c r="AC15" s="26"/>
      <c r="AD15" s="17"/>
      <c r="AE15" s="26"/>
      <c r="AF15" s="16"/>
      <c r="AG15" s="26"/>
      <c r="AH15" s="17"/>
      <c r="AI15" s="26"/>
      <c r="AJ15" s="16"/>
      <c r="AK15" s="26"/>
      <c r="AL15" s="17"/>
      <c r="AM15" s="26"/>
      <c r="AN15" s="17"/>
      <c r="AO15" s="26"/>
      <c r="AP15" s="17"/>
      <c r="AQ15" s="26"/>
      <c r="AR15" s="17"/>
    </row>
    <row r="16" spans="1:44" x14ac:dyDescent="0.35">
      <c r="A16" s="54"/>
      <c r="B16" s="14" t="s">
        <v>19</v>
      </c>
      <c r="C16" s="15"/>
      <c r="D16" s="19"/>
      <c r="E16" s="31"/>
      <c r="F16" s="19"/>
      <c r="G16" s="31"/>
      <c r="H16" s="20"/>
      <c r="I16" s="26"/>
      <c r="J16" s="19"/>
      <c r="K16" s="31"/>
      <c r="L16" s="19"/>
      <c r="M16" s="26"/>
      <c r="N16" s="16"/>
      <c r="O16" s="26"/>
      <c r="P16" s="19"/>
      <c r="Q16" s="26"/>
      <c r="R16" s="19"/>
      <c r="S16" s="26"/>
      <c r="T16" s="16"/>
      <c r="U16" s="26"/>
      <c r="V16" s="19"/>
      <c r="W16" s="26"/>
      <c r="X16" s="20"/>
      <c r="Y16" s="26"/>
      <c r="Z16" s="16"/>
      <c r="AA16" s="26"/>
      <c r="AB16" s="19"/>
      <c r="AC16" s="26"/>
      <c r="AD16" s="20"/>
      <c r="AE16" s="26"/>
      <c r="AF16" s="19"/>
      <c r="AG16" s="26"/>
      <c r="AH16" s="20"/>
      <c r="AI16" s="26"/>
      <c r="AJ16" s="19"/>
      <c r="AK16" s="26"/>
      <c r="AL16" s="20"/>
      <c r="AM16" s="26"/>
      <c r="AN16" s="20"/>
      <c r="AO16" s="26"/>
      <c r="AP16" s="20"/>
      <c r="AQ16" s="26"/>
      <c r="AR16" s="20"/>
    </row>
    <row r="17" spans="1:44" x14ac:dyDescent="0.35">
      <c r="A17" s="54"/>
      <c r="B17" s="14" t="s">
        <v>19</v>
      </c>
      <c r="C17" s="15"/>
      <c r="D17" s="16"/>
      <c r="E17" s="26"/>
      <c r="F17" s="16"/>
      <c r="G17" s="26"/>
      <c r="H17" s="17"/>
      <c r="I17" s="26"/>
      <c r="J17" s="16"/>
      <c r="K17" s="26"/>
      <c r="L17" s="16"/>
      <c r="M17" s="26"/>
      <c r="N17" s="16"/>
      <c r="O17" s="26"/>
      <c r="P17" s="16"/>
      <c r="Q17" s="26"/>
      <c r="R17" s="16"/>
      <c r="S17" s="26"/>
      <c r="T17" s="16"/>
      <c r="U17" s="26"/>
      <c r="V17" s="16"/>
      <c r="W17" s="26"/>
      <c r="X17" s="17"/>
      <c r="Y17" s="26"/>
      <c r="Z17" s="16"/>
      <c r="AA17" s="26"/>
      <c r="AB17" s="16"/>
      <c r="AC17" s="26"/>
      <c r="AD17" s="17"/>
      <c r="AE17" s="26"/>
      <c r="AF17" s="16"/>
      <c r="AG17" s="26"/>
      <c r="AH17" s="17"/>
      <c r="AI17" s="26"/>
      <c r="AJ17" s="16"/>
      <c r="AK17" s="26"/>
      <c r="AL17" s="17"/>
      <c r="AM17" s="26"/>
      <c r="AN17" s="17"/>
      <c r="AO17" s="26"/>
      <c r="AP17" s="17"/>
      <c r="AQ17" s="26"/>
      <c r="AR17" s="17"/>
    </row>
    <row r="18" spans="1:44" ht="15" thickBot="1" x14ac:dyDescent="0.4">
      <c r="A18" s="55"/>
      <c r="B18" s="21" t="s">
        <v>19</v>
      </c>
      <c r="C18" s="22"/>
      <c r="D18" s="23"/>
      <c r="E18" s="33"/>
      <c r="F18" s="23"/>
      <c r="G18" s="33"/>
      <c r="H18" s="24"/>
      <c r="I18" s="33"/>
      <c r="J18" s="23"/>
      <c r="K18" s="33"/>
      <c r="L18" s="23"/>
      <c r="M18" s="33"/>
      <c r="N18" s="23"/>
      <c r="O18" s="33"/>
      <c r="P18" s="23"/>
      <c r="Q18" s="33"/>
      <c r="R18" s="23"/>
      <c r="S18" s="33"/>
      <c r="T18" s="23"/>
      <c r="U18" s="33"/>
      <c r="V18" s="23"/>
      <c r="W18" s="33"/>
      <c r="X18" s="24"/>
      <c r="Y18" s="33"/>
      <c r="Z18" s="23"/>
      <c r="AA18" s="33"/>
      <c r="AB18" s="23"/>
      <c r="AC18" s="33"/>
      <c r="AD18" s="24"/>
      <c r="AE18" s="33"/>
      <c r="AF18" s="23"/>
      <c r="AG18" s="33"/>
      <c r="AH18" s="24"/>
      <c r="AI18" s="33"/>
      <c r="AJ18" s="23"/>
      <c r="AK18" s="33"/>
      <c r="AL18" s="24"/>
      <c r="AM18" s="33"/>
      <c r="AN18" s="24"/>
      <c r="AO18" s="33"/>
      <c r="AP18" s="24"/>
      <c r="AQ18" s="33"/>
      <c r="AR18" s="24"/>
    </row>
    <row r="19" spans="1:44" x14ac:dyDescent="0.35">
      <c r="C19" s="25">
        <v>5.1120000000000001</v>
      </c>
      <c r="D19" s="25">
        <v>349.50299999999999</v>
      </c>
      <c r="E19" s="25">
        <v>1.736</v>
      </c>
      <c r="F19" s="25">
        <v>107862.231</v>
      </c>
      <c r="G19" s="25">
        <v>11.827999999999999</v>
      </c>
      <c r="H19" s="25">
        <v>135.721</v>
      </c>
      <c r="I19" s="25">
        <v>7.3319999999999999</v>
      </c>
      <c r="J19" s="25">
        <v>95.048000000000002</v>
      </c>
      <c r="K19" s="25">
        <v>11.788</v>
      </c>
      <c r="L19" s="25">
        <v>349.81</v>
      </c>
      <c r="M19" s="25">
        <v>1.6639999999999999</v>
      </c>
      <c r="N19" s="25">
        <v>564.15800000000002</v>
      </c>
      <c r="O19" s="25">
        <v>4.5039999999999996</v>
      </c>
      <c r="P19" s="25">
        <v>136.22300000000001</v>
      </c>
      <c r="Q19" s="25">
        <v>8.3919999999999995</v>
      </c>
      <c r="R19" s="25">
        <v>103.03100000000001</v>
      </c>
      <c r="S19" s="25">
        <v>11.888</v>
      </c>
      <c r="T19" s="25">
        <v>9.1999999999999993</v>
      </c>
      <c r="U19">
        <v>8.4760000000000009</v>
      </c>
      <c r="V19">
        <v>59.259</v>
      </c>
      <c r="W19">
        <v>11.832000000000001</v>
      </c>
      <c r="X19">
        <v>39.442999999999998</v>
      </c>
      <c r="Y19">
        <v>11.78</v>
      </c>
      <c r="Z19">
        <v>7.0039999999999996</v>
      </c>
      <c r="AA19">
        <v>8.3719999999999999</v>
      </c>
      <c r="AB19">
        <v>2064.4479999999999</v>
      </c>
      <c r="AC19">
        <v>11.84</v>
      </c>
      <c r="AD19">
        <v>1611.492</v>
      </c>
      <c r="AE19">
        <v>7.2679999999999998</v>
      </c>
      <c r="AF19">
        <v>36.148000000000003</v>
      </c>
      <c r="AG19">
        <v>7.2720000000000002</v>
      </c>
      <c r="AH19">
        <v>58.152000000000001</v>
      </c>
      <c r="AI19">
        <v>7.2759999999999998</v>
      </c>
      <c r="AJ19">
        <v>68.997</v>
      </c>
      <c r="AK19">
        <v>7.26</v>
      </c>
      <c r="AL19">
        <v>330.69</v>
      </c>
      <c r="AM19">
        <v>7.2359999999999998</v>
      </c>
      <c r="AN19">
        <v>1165.269</v>
      </c>
      <c r="AO19">
        <v>7.2560000000000002</v>
      </c>
      <c r="AP19">
        <v>196.44499999999999</v>
      </c>
      <c r="AQ19">
        <v>7.3040000000000003</v>
      </c>
      <c r="AR19">
        <v>143.76599999999999</v>
      </c>
    </row>
    <row r="20" spans="1:44" x14ac:dyDescent="0.35">
      <c r="C20" s="25">
        <v>19.335999999999999</v>
      </c>
      <c r="D20" s="25">
        <v>10446.859</v>
      </c>
      <c r="E20" s="25">
        <v>18.056000000000001</v>
      </c>
      <c r="F20" s="25">
        <v>8150.8249999999998</v>
      </c>
      <c r="G20" s="25">
        <v>17.399999999999999</v>
      </c>
      <c r="H20" s="25">
        <v>20.797999999999998</v>
      </c>
      <c r="I20" s="25">
        <v>11.964</v>
      </c>
      <c r="J20" s="25">
        <v>4000.8989999999999</v>
      </c>
      <c r="K20" s="25">
        <v>17.36</v>
      </c>
      <c r="L20" s="25">
        <v>34.951999999999998</v>
      </c>
      <c r="M20" s="25">
        <v>4.8600000000000003</v>
      </c>
      <c r="N20" s="25">
        <v>5289.43</v>
      </c>
      <c r="O20" s="25">
        <v>11.827999999999999</v>
      </c>
      <c r="P20" s="25">
        <v>30.585999999999999</v>
      </c>
      <c r="Q20" s="25">
        <v>11.891999999999999</v>
      </c>
      <c r="R20" s="25">
        <v>184.34299999999999</v>
      </c>
      <c r="S20" s="25">
        <v>17.367999999999999</v>
      </c>
      <c r="T20" s="25">
        <v>793.25599999999997</v>
      </c>
      <c r="U20">
        <v>11.972</v>
      </c>
      <c r="V20">
        <v>154.03700000000001</v>
      </c>
      <c r="W20">
        <v>17.344000000000001</v>
      </c>
      <c r="X20">
        <v>838.32399999999996</v>
      </c>
      <c r="Y20">
        <v>17.312000000000001</v>
      </c>
      <c r="Z20">
        <v>746.46</v>
      </c>
      <c r="AA20">
        <v>11.747999999999999</v>
      </c>
      <c r="AB20">
        <v>590.44299999999998</v>
      </c>
      <c r="AC20" t="s">
        <v>26</v>
      </c>
      <c r="AD20">
        <v>1611.492</v>
      </c>
      <c r="AE20">
        <v>8.3879999999999999</v>
      </c>
      <c r="AF20">
        <v>27095.958999999999</v>
      </c>
      <c r="AG20">
        <v>10.256</v>
      </c>
      <c r="AH20">
        <v>72.319999999999993</v>
      </c>
      <c r="AI20">
        <v>11.752000000000001</v>
      </c>
      <c r="AJ20">
        <v>557.178</v>
      </c>
      <c r="AK20">
        <v>11.808</v>
      </c>
      <c r="AL20">
        <v>395.81</v>
      </c>
      <c r="AM20">
        <v>11.76</v>
      </c>
      <c r="AN20">
        <v>1022.013</v>
      </c>
      <c r="AO20">
        <v>8.1920000000000002</v>
      </c>
      <c r="AP20">
        <v>17.571000000000002</v>
      </c>
      <c r="AQ20">
        <v>10.372</v>
      </c>
      <c r="AR20">
        <v>122.46299999999999</v>
      </c>
    </row>
    <row r="21" spans="1:44" x14ac:dyDescent="0.35">
      <c r="C21" s="25" t="s">
        <v>26</v>
      </c>
      <c r="D21" s="25">
        <v>10796.362999999999</v>
      </c>
      <c r="E21" s="25">
        <v>26.527999999999999</v>
      </c>
      <c r="F21" s="25">
        <v>87189.703999999998</v>
      </c>
      <c r="G21" s="25" t="s">
        <v>26</v>
      </c>
      <c r="H21" s="25">
        <v>156.51900000000001</v>
      </c>
      <c r="I21" s="25">
        <v>17.844000000000001</v>
      </c>
      <c r="J21" s="25">
        <v>79784.794999999998</v>
      </c>
      <c r="K21" s="25" t="s">
        <v>26</v>
      </c>
      <c r="L21" s="25">
        <v>384.762</v>
      </c>
      <c r="M21" s="25">
        <v>14.848000000000001</v>
      </c>
      <c r="N21" s="25">
        <v>97.834000000000003</v>
      </c>
      <c r="O21" s="25">
        <v>16.664000000000001</v>
      </c>
      <c r="P21" s="25">
        <v>10.782</v>
      </c>
      <c r="Q21" s="25">
        <v>17.559999999999999</v>
      </c>
      <c r="R21" s="25">
        <v>21.119</v>
      </c>
      <c r="S21" s="25">
        <v>24.94</v>
      </c>
      <c r="T21" s="25">
        <v>23.606000000000002</v>
      </c>
      <c r="U21">
        <v>17.556000000000001</v>
      </c>
      <c r="V21">
        <v>19.603999999999999</v>
      </c>
      <c r="W21">
        <v>21.664000000000001</v>
      </c>
      <c r="X21">
        <v>7.218</v>
      </c>
      <c r="Y21">
        <v>24.888000000000002</v>
      </c>
      <c r="Z21">
        <v>35.143000000000001</v>
      </c>
      <c r="AA21" t="s">
        <v>26</v>
      </c>
      <c r="AB21">
        <v>2654.8910000000001</v>
      </c>
      <c r="AE21">
        <v>11.768000000000001</v>
      </c>
      <c r="AF21">
        <v>8308.9719999999998</v>
      </c>
      <c r="AG21">
        <v>11.832000000000001</v>
      </c>
      <c r="AH21">
        <v>23184.557000000001</v>
      </c>
      <c r="AI21">
        <v>14.247999999999999</v>
      </c>
      <c r="AJ21">
        <v>43.79</v>
      </c>
      <c r="AK21">
        <v>14.84</v>
      </c>
      <c r="AL21">
        <v>33.731000000000002</v>
      </c>
      <c r="AM21">
        <v>14.236000000000001</v>
      </c>
      <c r="AN21">
        <v>52.597999999999999</v>
      </c>
      <c r="AO21">
        <v>10.128</v>
      </c>
      <c r="AP21">
        <v>53.680999999999997</v>
      </c>
      <c r="AQ21">
        <v>16.46</v>
      </c>
      <c r="AR21">
        <v>5.4749999999999996</v>
      </c>
    </row>
    <row r="22" spans="1:44" x14ac:dyDescent="0.35">
      <c r="C22" s="25"/>
      <c r="D22" s="25"/>
      <c r="E22" s="25" t="s">
        <v>26</v>
      </c>
      <c r="F22" s="25">
        <v>203202.76</v>
      </c>
      <c r="G22" s="25"/>
      <c r="H22" s="25"/>
      <c r="I22" s="25" t="s">
        <v>26</v>
      </c>
      <c r="J22" s="25">
        <v>83880.741999999998</v>
      </c>
      <c r="K22" s="25"/>
      <c r="L22" s="25"/>
      <c r="M22" s="25">
        <v>21.724</v>
      </c>
      <c r="N22" s="25">
        <v>719.84500000000003</v>
      </c>
      <c r="O22" s="25">
        <v>17.367999999999999</v>
      </c>
      <c r="P22" s="25">
        <v>682.57299999999998</v>
      </c>
      <c r="Q22" s="25" t="s">
        <v>26</v>
      </c>
      <c r="R22" s="25">
        <v>308.49299999999999</v>
      </c>
      <c r="S22" s="25" t="s">
        <v>26</v>
      </c>
      <c r="T22" s="25">
        <v>826.06200000000001</v>
      </c>
      <c r="U22" t="s">
        <v>26</v>
      </c>
      <c r="V22">
        <v>232.90100000000001</v>
      </c>
      <c r="W22">
        <v>24.876000000000001</v>
      </c>
      <c r="X22">
        <v>175.179</v>
      </c>
      <c r="Y22" t="s">
        <v>26</v>
      </c>
      <c r="Z22">
        <v>788.60599999999999</v>
      </c>
      <c r="AE22">
        <v>17.239999999999998</v>
      </c>
      <c r="AF22">
        <v>126.06699999999999</v>
      </c>
      <c r="AG22">
        <v>16.488</v>
      </c>
      <c r="AH22">
        <v>44.972999999999999</v>
      </c>
      <c r="AI22">
        <v>14.784000000000001</v>
      </c>
      <c r="AJ22">
        <v>87.561999999999998</v>
      </c>
      <c r="AK22">
        <v>17.411999999999999</v>
      </c>
      <c r="AL22">
        <v>88533.444000000003</v>
      </c>
      <c r="AM22">
        <v>17.643999999999998</v>
      </c>
      <c r="AN22">
        <v>100721.151</v>
      </c>
      <c r="AO22">
        <v>11.792</v>
      </c>
      <c r="AP22">
        <v>3039.335</v>
      </c>
      <c r="AQ22">
        <v>17.18</v>
      </c>
      <c r="AR22">
        <v>36891.311000000002</v>
      </c>
    </row>
    <row r="23" spans="1:44" x14ac:dyDescent="0.35"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 t="s">
        <v>26</v>
      </c>
      <c r="N23" s="25">
        <v>6671.2659999999996</v>
      </c>
      <c r="O23" s="25">
        <v>25.184000000000001</v>
      </c>
      <c r="P23" s="25">
        <v>146.798</v>
      </c>
      <c r="Q23" s="25"/>
      <c r="R23" s="25"/>
      <c r="S23" s="25"/>
      <c r="T23" s="25"/>
      <c r="W23" t="s">
        <v>26</v>
      </c>
      <c r="X23">
        <v>1060.164</v>
      </c>
      <c r="AE23" t="s">
        <v>26</v>
      </c>
      <c r="AF23">
        <v>35567.146000000001</v>
      </c>
      <c r="AG23">
        <v>17.212</v>
      </c>
      <c r="AH23">
        <v>76.703999999999994</v>
      </c>
      <c r="AI23">
        <v>17.059999999999999</v>
      </c>
      <c r="AJ23">
        <v>94224.619000000006</v>
      </c>
      <c r="AK23">
        <v>24.012</v>
      </c>
      <c r="AL23">
        <v>2025.8140000000001</v>
      </c>
      <c r="AM23">
        <v>23.972000000000001</v>
      </c>
      <c r="AN23">
        <v>2368.5569999999998</v>
      </c>
      <c r="AO23">
        <v>17.52</v>
      </c>
      <c r="AP23">
        <v>98949.577000000005</v>
      </c>
      <c r="AQ23" t="s">
        <v>26</v>
      </c>
      <c r="AR23">
        <v>37163.014000000003</v>
      </c>
    </row>
    <row r="24" spans="1:44" x14ac:dyDescent="0.35"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 t="s">
        <v>26</v>
      </c>
      <c r="P24" s="25">
        <v>1006.962</v>
      </c>
      <c r="Q24" s="25"/>
      <c r="R24" s="25"/>
      <c r="S24" s="25"/>
      <c r="T24" s="25"/>
      <c r="AG24" t="s">
        <v>26</v>
      </c>
      <c r="AH24">
        <v>23436.705999999998</v>
      </c>
      <c r="AI24">
        <v>23.98</v>
      </c>
      <c r="AJ24">
        <v>2326.7829999999999</v>
      </c>
      <c r="AK24" t="s">
        <v>26</v>
      </c>
      <c r="AL24">
        <v>91319.487999999998</v>
      </c>
      <c r="AM24" t="s">
        <v>26</v>
      </c>
      <c r="AN24">
        <v>105329.588</v>
      </c>
      <c r="AO24" t="s">
        <v>26</v>
      </c>
      <c r="AP24">
        <v>102256.61</v>
      </c>
    </row>
    <row r="25" spans="1:44" x14ac:dyDescent="0.35"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AI25" t="s">
        <v>26</v>
      </c>
      <c r="AJ25">
        <v>97308.93</v>
      </c>
    </row>
    <row r="26" spans="1:44" x14ac:dyDescent="0.35">
      <c r="F26" s="37"/>
    </row>
    <row r="31" spans="1:44" x14ac:dyDescent="0.35">
      <c r="W31" t="s">
        <v>34</v>
      </c>
    </row>
  </sheetData>
  <mergeCells count="4">
    <mergeCell ref="A1:A3"/>
    <mergeCell ref="A4:A7"/>
    <mergeCell ref="A9:A12"/>
    <mergeCell ref="A13:A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3"/>
  <sheetViews>
    <sheetView topLeftCell="A11" workbookViewId="0">
      <selection activeCell="E33" sqref="E33"/>
    </sheetView>
  </sheetViews>
  <sheetFormatPr defaultRowHeight="14.5" x14ac:dyDescent="0.35"/>
  <cols>
    <col min="2" max="2" width="16.26953125" bestFit="1" customWidth="1"/>
    <col min="3" max="3" width="11.81640625" bestFit="1" customWidth="1"/>
    <col min="5" max="5" width="11.81640625" bestFit="1" customWidth="1"/>
    <col min="7" max="7" width="11.81640625" bestFit="1" customWidth="1"/>
    <col min="9" max="9" width="12.81640625" bestFit="1" customWidth="1"/>
    <col min="11" max="11" width="12.81640625" bestFit="1" customWidth="1"/>
    <col min="13" max="13" width="12.81640625" bestFit="1" customWidth="1"/>
    <col min="15" max="15" width="12.81640625" bestFit="1" customWidth="1"/>
    <col min="17" max="17" width="12.81640625" bestFit="1" customWidth="1"/>
    <col min="19" max="19" width="12.81640625" bestFit="1" customWidth="1"/>
  </cols>
  <sheetData>
    <row r="1" spans="1:20" x14ac:dyDescent="0.35">
      <c r="A1" s="51" t="s">
        <v>0</v>
      </c>
      <c r="B1" s="1" t="s">
        <v>1</v>
      </c>
      <c r="C1" s="2">
        <v>44546</v>
      </c>
      <c r="D1" s="3"/>
      <c r="E1" s="32">
        <v>44546</v>
      </c>
      <c r="F1" s="3"/>
      <c r="G1" s="32">
        <v>44546</v>
      </c>
      <c r="H1" s="4"/>
      <c r="I1" s="32">
        <v>44546</v>
      </c>
      <c r="J1" s="3"/>
      <c r="K1" s="32">
        <v>44546</v>
      </c>
      <c r="L1" s="3"/>
      <c r="M1" s="32">
        <v>44546</v>
      </c>
      <c r="N1" s="3"/>
      <c r="O1" s="32">
        <v>44546</v>
      </c>
      <c r="P1" s="3"/>
      <c r="Q1" s="32">
        <v>44546</v>
      </c>
      <c r="R1" s="3"/>
      <c r="S1" s="32">
        <v>44546</v>
      </c>
      <c r="T1" s="3"/>
    </row>
    <row r="2" spans="1:20" x14ac:dyDescent="0.35">
      <c r="A2" s="52"/>
      <c r="B2" s="5" t="s">
        <v>2</v>
      </c>
      <c r="C2" s="6" t="s">
        <v>3</v>
      </c>
      <c r="D2" s="7"/>
      <c r="E2" s="27" t="s">
        <v>3</v>
      </c>
      <c r="F2" s="7"/>
      <c r="G2" s="27" t="s">
        <v>3</v>
      </c>
      <c r="H2" s="8"/>
      <c r="I2" s="27" t="s">
        <v>3</v>
      </c>
      <c r="J2" s="7"/>
      <c r="K2" s="27" t="s">
        <v>3</v>
      </c>
      <c r="L2" s="7"/>
      <c r="M2" s="27" t="s">
        <v>3</v>
      </c>
      <c r="N2" s="7"/>
      <c r="O2" s="27" t="s">
        <v>3</v>
      </c>
      <c r="P2" s="7"/>
      <c r="Q2" s="27" t="s">
        <v>3</v>
      </c>
      <c r="R2" s="7"/>
      <c r="S2" s="27" t="s">
        <v>3</v>
      </c>
      <c r="T2" s="7"/>
    </row>
    <row r="3" spans="1:20" x14ac:dyDescent="0.35">
      <c r="A3" s="52"/>
      <c r="B3" s="5" t="s">
        <v>4</v>
      </c>
      <c r="C3" s="9">
        <v>0.50138888888888888</v>
      </c>
      <c r="D3" s="7"/>
      <c r="E3" s="28">
        <v>0.52013888888888882</v>
      </c>
      <c r="F3" s="7"/>
      <c r="G3" s="28">
        <v>0.53819444444444442</v>
      </c>
      <c r="H3" s="8"/>
      <c r="I3" s="28">
        <v>0.55625000000000002</v>
      </c>
      <c r="J3" s="7"/>
      <c r="K3" s="28">
        <v>0.57430555555555551</v>
      </c>
      <c r="L3" s="7"/>
      <c r="M3" s="28">
        <v>0.60069444444444442</v>
      </c>
      <c r="N3" s="7"/>
      <c r="O3" s="28">
        <v>0.61944444444444446</v>
      </c>
      <c r="P3" s="7"/>
      <c r="Q3" s="28">
        <v>0.63750000000000007</v>
      </c>
      <c r="R3" s="7"/>
      <c r="S3" s="28">
        <v>0.65555555555555556</v>
      </c>
      <c r="T3" s="7"/>
    </row>
    <row r="4" spans="1:20" x14ac:dyDescent="0.35">
      <c r="A4" s="53" t="s">
        <v>5</v>
      </c>
      <c r="B4" s="10" t="s">
        <v>6</v>
      </c>
      <c r="C4" s="35" t="s">
        <v>46</v>
      </c>
      <c r="D4" s="16"/>
      <c r="E4" s="35" t="s">
        <v>46</v>
      </c>
      <c r="F4" s="16"/>
      <c r="G4" s="35" t="s">
        <v>46</v>
      </c>
      <c r="H4" s="17"/>
      <c r="I4" s="35" t="s">
        <v>47</v>
      </c>
      <c r="J4" s="16"/>
      <c r="K4" s="35" t="s">
        <v>47</v>
      </c>
      <c r="L4" s="16"/>
      <c r="M4" s="35" t="s">
        <v>47</v>
      </c>
      <c r="N4" s="16"/>
      <c r="O4" s="35" t="s">
        <v>48</v>
      </c>
      <c r="P4" s="16"/>
      <c r="Q4" s="35" t="s">
        <v>48</v>
      </c>
      <c r="R4" s="16"/>
      <c r="S4" s="35" t="s">
        <v>48</v>
      </c>
      <c r="T4" s="16"/>
    </row>
    <row r="5" spans="1:20" x14ac:dyDescent="0.35">
      <c r="A5" s="53"/>
      <c r="B5" s="10" t="s">
        <v>7</v>
      </c>
      <c r="C5" s="15" t="s">
        <v>22</v>
      </c>
      <c r="D5" s="16"/>
      <c r="E5" s="15" t="s">
        <v>22</v>
      </c>
      <c r="F5" s="16"/>
      <c r="G5" s="15" t="s">
        <v>22</v>
      </c>
      <c r="H5" s="17"/>
      <c r="I5" s="26" t="s">
        <v>22</v>
      </c>
      <c r="J5" s="16"/>
      <c r="K5" s="26" t="s">
        <v>22</v>
      </c>
      <c r="L5" s="16"/>
      <c r="M5" s="26" t="s">
        <v>22</v>
      </c>
      <c r="N5" s="16"/>
      <c r="O5" s="26" t="s">
        <v>22</v>
      </c>
      <c r="P5" s="16"/>
      <c r="Q5" s="26" t="s">
        <v>22</v>
      </c>
      <c r="R5" s="16"/>
      <c r="S5" s="26" t="s">
        <v>22</v>
      </c>
      <c r="T5" s="16"/>
    </row>
    <row r="6" spans="1:20" x14ac:dyDescent="0.35">
      <c r="A6" s="53"/>
      <c r="B6" s="10" t="s">
        <v>8</v>
      </c>
      <c r="C6" s="15" t="s">
        <v>20</v>
      </c>
      <c r="D6" s="16"/>
      <c r="E6" s="15" t="s">
        <v>20</v>
      </c>
      <c r="F6" s="16"/>
      <c r="G6" s="15" t="s">
        <v>20</v>
      </c>
      <c r="H6" s="17"/>
      <c r="I6" s="26" t="s">
        <v>20</v>
      </c>
      <c r="J6" s="16"/>
      <c r="K6" s="26" t="s">
        <v>20</v>
      </c>
      <c r="L6" s="16"/>
      <c r="M6" s="26" t="s">
        <v>20</v>
      </c>
      <c r="N6" s="16"/>
      <c r="O6" s="26" t="s">
        <v>20</v>
      </c>
      <c r="P6" s="16"/>
      <c r="Q6" s="26" t="s">
        <v>20</v>
      </c>
      <c r="R6" s="16"/>
      <c r="S6" s="26" t="s">
        <v>20</v>
      </c>
      <c r="T6" s="16"/>
    </row>
    <row r="7" spans="1:20" x14ac:dyDescent="0.35">
      <c r="A7" s="53"/>
      <c r="B7" s="10" t="s">
        <v>9</v>
      </c>
      <c r="C7" s="15" t="s">
        <v>21</v>
      </c>
      <c r="D7" s="16"/>
      <c r="E7" s="15" t="s">
        <v>21</v>
      </c>
      <c r="F7" s="16"/>
      <c r="G7" s="15" t="s">
        <v>21</v>
      </c>
      <c r="H7" s="17"/>
      <c r="I7" s="26" t="s">
        <v>21</v>
      </c>
      <c r="J7" s="16"/>
      <c r="K7" s="26" t="s">
        <v>21</v>
      </c>
      <c r="L7" s="16"/>
      <c r="M7" s="26" t="s">
        <v>21</v>
      </c>
      <c r="N7" s="16"/>
      <c r="O7" s="26" t="s">
        <v>21</v>
      </c>
      <c r="P7" s="16"/>
      <c r="Q7" s="26" t="s">
        <v>21</v>
      </c>
      <c r="R7" s="16"/>
      <c r="S7" s="26" t="s">
        <v>21</v>
      </c>
      <c r="T7" s="16"/>
    </row>
    <row r="8" spans="1:20" x14ac:dyDescent="0.35">
      <c r="A8" s="38" t="s">
        <v>10</v>
      </c>
      <c r="B8" s="5" t="s">
        <v>11</v>
      </c>
      <c r="C8" s="15">
        <v>0.75</v>
      </c>
      <c r="D8" s="16"/>
      <c r="E8" s="15">
        <v>0.75</v>
      </c>
      <c r="F8" s="16"/>
      <c r="G8" s="15">
        <v>0.75</v>
      </c>
      <c r="H8" s="17"/>
      <c r="I8" s="15">
        <v>0.75</v>
      </c>
      <c r="J8" s="16"/>
      <c r="K8" s="15">
        <v>0.75</v>
      </c>
      <c r="L8" s="16"/>
      <c r="M8" s="15">
        <v>0.75</v>
      </c>
      <c r="N8" s="16"/>
      <c r="O8" s="15">
        <v>0.75</v>
      </c>
      <c r="P8" s="16"/>
      <c r="Q8" s="15">
        <v>0.75</v>
      </c>
      <c r="R8" s="16"/>
      <c r="S8" s="15">
        <v>0.75</v>
      </c>
      <c r="T8" s="16"/>
    </row>
    <row r="9" spans="1:20" x14ac:dyDescent="0.35">
      <c r="A9" s="53" t="s">
        <v>12</v>
      </c>
      <c r="B9" s="10" t="s">
        <v>13</v>
      </c>
      <c r="C9" s="15" t="s">
        <v>14</v>
      </c>
      <c r="D9" s="16"/>
      <c r="E9" s="15" t="s">
        <v>14</v>
      </c>
      <c r="F9" s="16"/>
      <c r="G9" s="15" t="s">
        <v>14</v>
      </c>
      <c r="H9" s="17"/>
      <c r="I9" s="26" t="s">
        <v>14</v>
      </c>
      <c r="J9" s="16"/>
      <c r="K9" s="26" t="s">
        <v>14</v>
      </c>
      <c r="L9" s="16"/>
      <c r="M9" s="26" t="s">
        <v>14</v>
      </c>
      <c r="N9" s="16"/>
      <c r="O9" s="26" t="s">
        <v>14</v>
      </c>
      <c r="P9" s="16"/>
      <c r="Q9" s="26" t="s">
        <v>14</v>
      </c>
      <c r="R9" s="16"/>
      <c r="S9" s="26" t="s">
        <v>14</v>
      </c>
      <c r="T9" s="16"/>
    </row>
    <row r="10" spans="1:20" x14ac:dyDescent="0.35">
      <c r="A10" s="53"/>
      <c r="B10" s="10" t="s">
        <v>15</v>
      </c>
      <c r="C10" s="15">
        <v>214</v>
      </c>
      <c r="D10" s="16"/>
      <c r="E10" s="15">
        <v>214</v>
      </c>
      <c r="F10" s="16"/>
      <c r="G10" s="15">
        <v>214</v>
      </c>
      <c r="H10" s="17"/>
      <c r="I10" s="15">
        <v>214</v>
      </c>
      <c r="J10" s="16"/>
      <c r="K10" s="15">
        <v>214</v>
      </c>
      <c r="L10" s="16"/>
      <c r="M10" s="15">
        <v>214</v>
      </c>
      <c r="N10" s="16"/>
      <c r="O10" s="15">
        <v>214</v>
      </c>
      <c r="P10" s="16"/>
      <c r="Q10" s="15">
        <v>214</v>
      </c>
      <c r="R10" s="16"/>
      <c r="S10" s="15">
        <v>214</v>
      </c>
      <c r="T10" s="16"/>
    </row>
    <row r="11" spans="1:20" x14ac:dyDescent="0.35">
      <c r="A11" s="53"/>
      <c r="B11" s="10" t="s">
        <v>16</v>
      </c>
      <c r="C11" s="15"/>
      <c r="D11" s="16"/>
      <c r="E11" s="26"/>
      <c r="F11" s="16"/>
      <c r="G11" s="26"/>
      <c r="H11" s="17"/>
      <c r="I11" s="26"/>
      <c r="J11" s="16"/>
      <c r="K11" s="26"/>
      <c r="L11" s="16"/>
      <c r="M11" s="26"/>
      <c r="N11" s="16"/>
      <c r="O11" s="26"/>
      <c r="P11" s="16"/>
      <c r="Q11" s="26"/>
      <c r="R11" s="16"/>
      <c r="S11" s="26"/>
      <c r="T11" s="16"/>
    </row>
    <row r="12" spans="1:20" x14ac:dyDescent="0.35">
      <c r="A12" s="53"/>
      <c r="B12" s="10" t="s">
        <v>17</v>
      </c>
      <c r="C12" s="15"/>
      <c r="D12" s="16"/>
      <c r="E12" s="26"/>
      <c r="F12" s="16"/>
      <c r="G12" s="26"/>
      <c r="H12" s="17"/>
      <c r="I12" s="26"/>
      <c r="J12" s="16"/>
      <c r="K12" s="26"/>
      <c r="L12" s="16"/>
      <c r="M12" s="26"/>
      <c r="N12" s="16"/>
      <c r="O12" s="26"/>
      <c r="P12" s="16"/>
      <c r="Q12" s="26"/>
      <c r="R12" s="16"/>
      <c r="S12" s="26"/>
      <c r="T12" s="16"/>
    </row>
    <row r="13" spans="1:20" x14ac:dyDescent="0.35">
      <c r="A13" s="54" t="s">
        <v>18</v>
      </c>
      <c r="B13" s="14" t="s">
        <v>19</v>
      </c>
      <c r="C13" s="15"/>
      <c r="D13" s="16"/>
      <c r="E13" s="26"/>
      <c r="F13" s="16"/>
      <c r="G13" s="26"/>
      <c r="H13" s="17"/>
      <c r="I13" s="26"/>
      <c r="J13" s="16"/>
      <c r="K13" s="26"/>
      <c r="L13" s="16"/>
      <c r="M13" s="26"/>
      <c r="N13" s="16"/>
      <c r="O13" s="26"/>
      <c r="P13" s="16"/>
      <c r="Q13" s="29"/>
      <c r="R13" s="34"/>
      <c r="S13" s="26"/>
      <c r="T13" s="16"/>
    </row>
    <row r="14" spans="1:20" x14ac:dyDescent="0.35">
      <c r="A14" s="54"/>
      <c r="B14" s="14" t="s">
        <v>19</v>
      </c>
      <c r="C14" s="18"/>
      <c r="D14" s="19"/>
      <c r="E14" s="31"/>
      <c r="F14" s="19"/>
      <c r="G14" s="31"/>
      <c r="H14" s="20"/>
      <c r="I14" s="26"/>
      <c r="J14" s="16"/>
      <c r="K14" s="26"/>
      <c r="L14" s="16"/>
      <c r="M14" s="26"/>
      <c r="N14" s="16"/>
      <c r="O14" s="30"/>
      <c r="P14" s="19"/>
      <c r="Q14" s="26"/>
      <c r="R14" s="16"/>
      <c r="S14" s="26"/>
      <c r="T14" s="16"/>
    </row>
    <row r="15" spans="1:20" x14ac:dyDescent="0.35">
      <c r="A15" s="54"/>
      <c r="B15" s="14" t="s">
        <v>19</v>
      </c>
      <c r="C15" s="15"/>
      <c r="D15" s="16"/>
      <c r="E15" s="26"/>
      <c r="F15" s="16"/>
      <c r="G15" s="26"/>
      <c r="H15" s="17"/>
      <c r="I15" s="26"/>
      <c r="J15" s="16"/>
      <c r="K15" s="26"/>
      <c r="L15" s="16"/>
      <c r="M15" s="26"/>
      <c r="N15" s="16"/>
      <c r="O15" s="26"/>
      <c r="P15" s="16"/>
      <c r="Q15" s="26"/>
      <c r="R15" s="16"/>
      <c r="S15" s="26"/>
      <c r="T15" s="16"/>
    </row>
    <row r="16" spans="1:20" x14ac:dyDescent="0.35">
      <c r="A16" s="54"/>
      <c r="B16" s="14" t="s">
        <v>19</v>
      </c>
      <c r="C16" s="15"/>
      <c r="D16" s="19"/>
      <c r="E16" s="31"/>
      <c r="F16" s="19"/>
      <c r="G16" s="31"/>
      <c r="H16" s="20"/>
      <c r="I16" s="26"/>
      <c r="J16" s="19"/>
      <c r="K16" s="31"/>
      <c r="L16" s="19"/>
      <c r="M16" s="26"/>
      <c r="N16" s="16"/>
      <c r="O16" s="26"/>
      <c r="P16" s="19"/>
      <c r="Q16" s="26"/>
      <c r="R16" s="19"/>
      <c r="S16" s="26"/>
      <c r="T16" s="16"/>
    </row>
    <row r="17" spans="1:21" x14ac:dyDescent="0.35">
      <c r="A17" s="54"/>
      <c r="B17" s="14" t="s">
        <v>19</v>
      </c>
      <c r="C17" s="15"/>
      <c r="D17" s="16"/>
      <c r="E17" s="26"/>
      <c r="F17" s="16"/>
      <c r="G17" s="26"/>
      <c r="H17" s="17"/>
      <c r="I17" s="26"/>
      <c r="J17" s="16"/>
      <c r="K17" s="26"/>
      <c r="L17" s="16"/>
      <c r="M17" s="26"/>
      <c r="N17" s="16"/>
      <c r="O17" s="26"/>
      <c r="P17" s="16"/>
      <c r="Q17" s="26"/>
      <c r="R17" s="16"/>
      <c r="S17" s="26"/>
      <c r="T17" s="16"/>
    </row>
    <row r="18" spans="1:21" ht="15" thickBot="1" x14ac:dyDescent="0.4">
      <c r="A18" s="55"/>
      <c r="B18" s="21" t="s">
        <v>19</v>
      </c>
      <c r="C18" s="22"/>
      <c r="D18" s="23"/>
      <c r="E18" s="33"/>
      <c r="F18" s="23"/>
      <c r="G18" s="33"/>
      <c r="H18" s="24"/>
      <c r="I18" s="33"/>
      <c r="J18" s="23"/>
      <c r="K18" s="33"/>
      <c r="L18" s="23"/>
      <c r="M18" s="33"/>
      <c r="N18" s="23"/>
      <c r="O18" s="33"/>
      <c r="P18" s="23"/>
      <c r="Q18" s="33"/>
      <c r="R18" s="23"/>
      <c r="S18" s="33"/>
      <c r="T18" s="23"/>
    </row>
    <row r="19" spans="1:21" x14ac:dyDescent="0.35">
      <c r="C19">
        <v>5.548</v>
      </c>
      <c r="D19">
        <v>337.74099999999999</v>
      </c>
      <c r="E19">
        <v>7.3639999999999999</v>
      </c>
      <c r="F19">
        <v>242.381</v>
      </c>
      <c r="G19">
        <v>7.3719999999999999</v>
      </c>
      <c r="H19">
        <v>175.31</v>
      </c>
      <c r="I19">
        <v>7.2880000000000003</v>
      </c>
      <c r="J19">
        <v>153.96199999999999</v>
      </c>
      <c r="K19">
        <v>7.3440000000000003</v>
      </c>
      <c r="L19">
        <v>80.242000000000004</v>
      </c>
      <c r="M19">
        <v>7.28</v>
      </c>
      <c r="N19">
        <v>49.573999999999998</v>
      </c>
      <c r="O19">
        <v>7.3479999999999999</v>
      </c>
      <c r="P19">
        <v>86.960999999999999</v>
      </c>
      <c r="Q19">
        <v>8.3480000000000008</v>
      </c>
      <c r="R19">
        <v>2258.2579999999998</v>
      </c>
      <c r="S19">
        <v>7.32</v>
      </c>
      <c r="T19">
        <v>755.77300000000002</v>
      </c>
    </row>
    <row r="20" spans="1:21" x14ac:dyDescent="0.35">
      <c r="C20">
        <v>8.5239999999999991</v>
      </c>
      <c r="D20">
        <v>2142.578</v>
      </c>
      <c r="E20">
        <v>8.468</v>
      </c>
      <c r="F20">
        <v>2217.5479999999998</v>
      </c>
      <c r="G20">
        <v>8.4640000000000004</v>
      </c>
      <c r="H20">
        <v>1612.489</v>
      </c>
      <c r="I20">
        <v>8.452</v>
      </c>
      <c r="J20">
        <v>2005.931</v>
      </c>
      <c r="K20">
        <v>8.4280000000000008</v>
      </c>
      <c r="L20">
        <v>1905.5340000000001</v>
      </c>
      <c r="M20">
        <v>8.3719999999999999</v>
      </c>
      <c r="N20">
        <v>1748.7850000000001</v>
      </c>
      <c r="O20">
        <v>8.4039999999999999</v>
      </c>
      <c r="P20">
        <v>2582.2669999999998</v>
      </c>
      <c r="Q20">
        <v>11.804</v>
      </c>
      <c r="R20">
        <v>3583.1190000000001</v>
      </c>
      <c r="S20">
        <v>8.3879999999999999</v>
      </c>
      <c r="T20">
        <v>1898.251</v>
      </c>
    </row>
    <row r="21" spans="1:21" x14ac:dyDescent="0.35">
      <c r="C21">
        <v>12.007999999999999</v>
      </c>
      <c r="D21">
        <v>3425.991</v>
      </c>
      <c r="E21">
        <v>11.948</v>
      </c>
      <c r="F21">
        <v>3449.471</v>
      </c>
      <c r="G21">
        <v>11.944000000000001</v>
      </c>
      <c r="H21">
        <v>2951.5329999999999</v>
      </c>
      <c r="I21">
        <v>11.932</v>
      </c>
      <c r="J21">
        <v>3004.2190000000001</v>
      </c>
      <c r="K21">
        <v>11.896000000000001</v>
      </c>
      <c r="L21">
        <v>3152.328</v>
      </c>
      <c r="M21">
        <v>11.836</v>
      </c>
      <c r="N21">
        <v>2803.991</v>
      </c>
      <c r="O21">
        <v>11.864000000000001</v>
      </c>
      <c r="P21">
        <v>3402.83</v>
      </c>
      <c r="Q21">
        <v>16.552</v>
      </c>
      <c r="R21">
        <v>45.704000000000001</v>
      </c>
      <c r="S21">
        <v>11.843999999999999</v>
      </c>
      <c r="T21">
        <v>3304.4659999999999</v>
      </c>
    </row>
    <row r="22" spans="1:21" x14ac:dyDescent="0.35">
      <c r="C22">
        <v>16.692</v>
      </c>
      <c r="D22">
        <v>209.60499999999999</v>
      </c>
      <c r="E22">
        <v>16.68</v>
      </c>
      <c r="F22">
        <v>62.912999999999997</v>
      </c>
      <c r="G22">
        <v>16.687999999999999</v>
      </c>
      <c r="H22">
        <v>37.213000000000001</v>
      </c>
      <c r="I22">
        <v>16.664000000000001</v>
      </c>
      <c r="J22">
        <v>34.590000000000003</v>
      </c>
      <c r="K22">
        <v>16.62</v>
      </c>
      <c r="L22">
        <v>35.085999999999999</v>
      </c>
      <c r="M22">
        <v>17.423999999999999</v>
      </c>
      <c r="N22">
        <v>1981.5820000000001</v>
      </c>
      <c r="O22">
        <v>16.623999999999999</v>
      </c>
      <c r="P22">
        <v>43.341000000000001</v>
      </c>
      <c r="Q22">
        <v>17.5</v>
      </c>
      <c r="R22">
        <v>516.46900000000005</v>
      </c>
      <c r="S22">
        <v>16.54</v>
      </c>
      <c r="T22">
        <v>44.082999999999998</v>
      </c>
    </row>
    <row r="23" spans="1:21" x14ac:dyDescent="0.35">
      <c r="C23">
        <v>17.667999999999999</v>
      </c>
      <c r="D23">
        <v>4648.875</v>
      </c>
      <c r="E23">
        <v>17.568000000000001</v>
      </c>
      <c r="F23">
        <v>4365.152</v>
      </c>
      <c r="G23">
        <v>17.527999999999999</v>
      </c>
      <c r="H23">
        <v>4205.2610000000004</v>
      </c>
      <c r="I23">
        <v>17.512</v>
      </c>
      <c r="J23">
        <v>2189.9920000000002</v>
      </c>
      <c r="K23">
        <v>17.456</v>
      </c>
      <c r="L23">
        <v>2166.7600000000002</v>
      </c>
      <c r="M23">
        <v>24.123999999999999</v>
      </c>
      <c r="N23">
        <v>162.05799999999999</v>
      </c>
      <c r="O23">
        <v>17.568000000000001</v>
      </c>
      <c r="P23">
        <v>456.404</v>
      </c>
      <c r="Q23">
        <v>24.064</v>
      </c>
      <c r="R23">
        <v>28.062000000000001</v>
      </c>
      <c r="S23">
        <v>17.472000000000001</v>
      </c>
      <c r="T23">
        <v>487.22199999999998</v>
      </c>
    </row>
    <row r="24" spans="1:21" x14ac:dyDescent="0.35">
      <c r="C24">
        <v>24.52</v>
      </c>
      <c r="D24">
        <v>346.02</v>
      </c>
      <c r="E24">
        <v>24.388000000000002</v>
      </c>
      <c r="F24">
        <v>332.81700000000001</v>
      </c>
      <c r="G24">
        <v>24.308</v>
      </c>
      <c r="H24">
        <v>315.45100000000002</v>
      </c>
      <c r="I24">
        <v>24.256</v>
      </c>
      <c r="J24">
        <v>168.928</v>
      </c>
      <c r="K24">
        <v>24.135999999999999</v>
      </c>
      <c r="L24">
        <v>213.89699999999999</v>
      </c>
      <c r="O24">
        <v>24.116</v>
      </c>
      <c r="P24">
        <v>25.794</v>
      </c>
      <c r="S24">
        <v>23.984000000000002</v>
      </c>
      <c r="T24">
        <v>29.253</v>
      </c>
    </row>
    <row r="25" spans="1:21" x14ac:dyDescent="0.35">
      <c r="C25" t="s">
        <v>26</v>
      </c>
      <c r="D25">
        <v>11110.808999999999</v>
      </c>
      <c r="E25" t="s">
        <v>26</v>
      </c>
      <c r="F25">
        <v>10670.281999999999</v>
      </c>
      <c r="G25" t="s">
        <v>26</v>
      </c>
      <c r="H25">
        <v>9297.2569999999996</v>
      </c>
      <c r="I25" t="s">
        <v>26</v>
      </c>
      <c r="J25">
        <v>7557.6220000000003</v>
      </c>
      <c r="K25" t="s">
        <v>26</v>
      </c>
      <c r="L25">
        <v>7553.8469999999998</v>
      </c>
      <c r="M25" t="s">
        <v>26</v>
      </c>
      <c r="N25">
        <v>6745.991</v>
      </c>
      <c r="O25" t="s">
        <v>26</v>
      </c>
      <c r="P25">
        <v>6597.5969999999998</v>
      </c>
      <c r="Q25" t="s">
        <v>26</v>
      </c>
      <c r="R25">
        <v>6431.6120000000001</v>
      </c>
      <c r="S25" t="s">
        <v>26</v>
      </c>
      <c r="T25">
        <v>6519.0479999999998</v>
      </c>
      <c r="U25" t="s">
        <v>45</v>
      </c>
    </row>
    <row r="31" spans="1:21" x14ac:dyDescent="0.35">
      <c r="B31" s="56" t="s">
        <v>51</v>
      </c>
      <c r="C31" s="56"/>
      <c r="D31" s="56"/>
      <c r="E31">
        <f>C21</f>
        <v>12.007999999999999</v>
      </c>
      <c r="F31">
        <f>E21</f>
        <v>11.948</v>
      </c>
      <c r="G31">
        <f>G21</f>
        <v>11.944000000000001</v>
      </c>
      <c r="H31">
        <f>I21</f>
        <v>11.932</v>
      </c>
      <c r="I31">
        <f>K21</f>
        <v>11.896000000000001</v>
      </c>
      <c r="J31">
        <f>M21</f>
        <v>11.836</v>
      </c>
      <c r="K31">
        <f>O21</f>
        <v>11.864000000000001</v>
      </c>
      <c r="L31">
        <f>Q20</f>
        <v>11.804</v>
      </c>
      <c r="M31">
        <f>S21</f>
        <v>11.843999999999999</v>
      </c>
    </row>
    <row r="32" spans="1:21" x14ac:dyDescent="0.35">
      <c r="B32" s="56" t="s">
        <v>49</v>
      </c>
      <c r="C32" s="56"/>
      <c r="D32" s="56"/>
      <c r="E32">
        <f>E31*$C$8</f>
        <v>9.0060000000000002</v>
      </c>
      <c r="F32">
        <f t="shared" ref="F32:M32" si="0">F31*$C$8</f>
        <v>8.9610000000000003</v>
      </c>
      <c r="G32">
        <f t="shared" si="0"/>
        <v>8.9580000000000002</v>
      </c>
      <c r="H32">
        <f t="shared" si="0"/>
        <v>8.9489999999999998</v>
      </c>
      <c r="I32">
        <f t="shared" si="0"/>
        <v>8.9220000000000006</v>
      </c>
      <c r="J32">
        <f t="shared" si="0"/>
        <v>8.8770000000000007</v>
      </c>
      <c r="K32">
        <f t="shared" si="0"/>
        <v>8.8979999999999997</v>
      </c>
      <c r="L32">
        <f>L31*$C$8</f>
        <v>8.8529999999999998</v>
      </c>
      <c r="M32">
        <f t="shared" si="0"/>
        <v>8.8829999999999991</v>
      </c>
    </row>
    <row r="33" spans="2:13" x14ac:dyDescent="0.35">
      <c r="B33" s="56" t="s">
        <v>50</v>
      </c>
      <c r="C33" s="56"/>
      <c r="D33" s="56"/>
      <c r="E33">
        <f>(10^(E32*$C$43+$D$43))/1000</f>
        <v>138.27013918105717</v>
      </c>
      <c r="F33">
        <f t="shared" ref="F33:M33" si="1">(10^(F32*$C$43+$D$43))/1000</f>
        <v>143.05907083959895</v>
      </c>
      <c r="G33">
        <f t="shared" si="1"/>
        <v>143.38416779013042</v>
      </c>
      <c r="H33">
        <f t="shared" si="1"/>
        <v>144.36389799251515</v>
      </c>
      <c r="I33">
        <f t="shared" si="1"/>
        <v>147.34343829345119</v>
      </c>
      <c r="J33">
        <f t="shared" si="1"/>
        <v>152.44662008310644</v>
      </c>
      <c r="K33">
        <f t="shared" si="1"/>
        <v>150.0435047688116</v>
      </c>
      <c r="L33">
        <f t="shared" si="1"/>
        <v>155.24020229440671</v>
      </c>
      <c r="M33">
        <f t="shared" si="1"/>
        <v>151.75611501404103</v>
      </c>
    </row>
    <row r="35" spans="2:13" x14ac:dyDescent="0.35">
      <c r="B35" s="56" t="s">
        <v>52</v>
      </c>
      <c r="C35" s="56"/>
      <c r="D35" s="56"/>
      <c r="E35">
        <f>C20</f>
        <v>8.5239999999999991</v>
      </c>
      <c r="F35">
        <f>E20</f>
        <v>8.468</v>
      </c>
      <c r="G35">
        <f>G20</f>
        <v>8.4640000000000004</v>
      </c>
      <c r="H35">
        <f>I20</f>
        <v>8.452</v>
      </c>
      <c r="I35">
        <f>K20</f>
        <v>8.4280000000000008</v>
      </c>
      <c r="J35">
        <f>M20</f>
        <v>8.3719999999999999</v>
      </c>
      <c r="K35">
        <f>O20</f>
        <v>8.4039999999999999</v>
      </c>
      <c r="L35">
        <f>Q19</f>
        <v>8.3480000000000008</v>
      </c>
      <c r="M35">
        <f>S20</f>
        <v>8.3879999999999999</v>
      </c>
    </row>
    <row r="36" spans="2:13" x14ac:dyDescent="0.35">
      <c r="B36" s="56" t="s">
        <v>49</v>
      </c>
      <c r="C36" s="56"/>
      <c r="D36" s="56"/>
      <c r="E36">
        <f>E35*$C8</f>
        <v>6.3929999999999989</v>
      </c>
      <c r="F36">
        <f t="shared" ref="F36:M36" si="2">F35*$C8</f>
        <v>6.351</v>
      </c>
      <c r="G36">
        <f t="shared" si="2"/>
        <v>6.3480000000000008</v>
      </c>
      <c r="H36">
        <f t="shared" si="2"/>
        <v>6.3390000000000004</v>
      </c>
      <c r="I36">
        <f t="shared" si="2"/>
        <v>6.3210000000000006</v>
      </c>
      <c r="J36">
        <f t="shared" si="2"/>
        <v>6.2789999999999999</v>
      </c>
      <c r="K36">
        <f t="shared" si="2"/>
        <v>6.3029999999999999</v>
      </c>
      <c r="L36">
        <f t="shared" si="2"/>
        <v>6.261000000000001</v>
      </c>
      <c r="M36">
        <f t="shared" si="2"/>
        <v>6.2910000000000004</v>
      </c>
    </row>
    <row r="37" spans="2:13" x14ac:dyDescent="0.35">
      <c r="B37" s="56" t="s">
        <v>50</v>
      </c>
      <c r="C37" s="56"/>
      <c r="D37" s="56"/>
      <c r="E37">
        <f>(10^(E36*$C$43+$D$43))/1000</f>
        <v>998.52789067501635</v>
      </c>
      <c r="F37">
        <f t="shared" ref="F37:M37" si="3">(10^(F36*$C43+$D43))/1000</f>
        <v>1030.7691214536883</v>
      </c>
      <c r="G37">
        <f t="shared" si="3"/>
        <v>1033.1115097840448</v>
      </c>
      <c r="H37">
        <f t="shared" si="3"/>
        <v>1040.1706611824666</v>
      </c>
      <c r="I37">
        <f t="shared" si="3"/>
        <v>1054.4339970649146</v>
      </c>
      <c r="J37">
        <f t="shared" si="3"/>
        <v>1088.4803668836557</v>
      </c>
      <c r="K37">
        <f t="shared" si="3"/>
        <v>1068.8929188815669</v>
      </c>
      <c r="L37">
        <f t="shared" si="3"/>
        <v>1103.4061494054051</v>
      </c>
      <c r="M37">
        <f t="shared" si="3"/>
        <v>1078.6421818673464</v>
      </c>
    </row>
    <row r="41" spans="2:13" x14ac:dyDescent="0.35">
      <c r="B41" t="s">
        <v>53</v>
      </c>
      <c r="C41" s="56" t="s">
        <v>54</v>
      </c>
      <c r="D41" s="56"/>
    </row>
    <row r="43" spans="2:13" x14ac:dyDescent="0.35">
      <c r="C43">
        <v>-0.3286</v>
      </c>
      <c r="D43">
        <v>8.1000999999999994</v>
      </c>
    </row>
    <row r="46" spans="2:13" x14ac:dyDescent="0.35">
      <c r="B46" s="56" t="s">
        <v>55</v>
      </c>
      <c r="C46" s="56"/>
      <c r="D46" s="56"/>
      <c r="E46">
        <f>C23</f>
        <v>17.667999999999999</v>
      </c>
      <c r="F46">
        <f>E23</f>
        <v>17.568000000000001</v>
      </c>
      <c r="G46">
        <f>G23</f>
        <v>17.527999999999999</v>
      </c>
      <c r="H46">
        <f>I23</f>
        <v>17.512</v>
      </c>
      <c r="I46">
        <f>K23</f>
        <v>17.456</v>
      </c>
      <c r="J46">
        <f>M22</f>
        <v>17.423999999999999</v>
      </c>
      <c r="K46">
        <f>O23</f>
        <v>17.568000000000001</v>
      </c>
      <c r="L46">
        <f>Q22</f>
        <v>17.5</v>
      </c>
      <c r="M46">
        <f>S23</f>
        <v>17.472000000000001</v>
      </c>
    </row>
    <row r="47" spans="2:13" x14ac:dyDescent="0.35">
      <c r="B47" s="56" t="s">
        <v>49</v>
      </c>
      <c r="C47" s="56"/>
      <c r="D47" s="56"/>
      <c r="E47">
        <f>E46*$C$8</f>
        <v>13.250999999999999</v>
      </c>
      <c r="F47">
        <f t="shared" ref="F47:M47" si="4">F46*$C$8</f>
        <v>13.176000000000002</v>
      </c>
      <c r="G47">
        <f t="shared" si="4"/>
        <v>13.145999999999999</v>
      </c>
      <c r="H47">
        <f t="shared" si="4"/>
        <v>13.134</v>
      </c>
      <c r="I47">
        <f t="shared" si="4"/>
        <v>13.091999999999999</v>
      </c>
      <c r="J47">
        <f t="shared" si="4"/>
        <v>13.068</v>
      </c>
      <c r="K47">
        <f t="shared" si="4"/>
        <v>13.176000000000002</v>
      </c>
      <c r="L47">
        <f t="shared" si="4"/>
        <v>13.125</v>
      </c>
      <c r="M47">
        <f t="shared" si="4"/>
        <v>13.104000000000001</v>
      </c>
    </row>
    <row r="48" spans="2:13" x14ac:dyDescent="0.35">
      <c r="B48" s="56" t="s">
        <v>50</v>
      </c>
      <c r="C48" s="56"/>
      <c r="D48" s="56"/>
      <c r="E48" s="42">
        <f>(10^(E47*$C$43+$D$43))/1000</f>
        <v>5.5695665802775043</v>
      </c>
      <c r="F48" s="42">
        <f t="shared" ref="F48:M48" si="5">(10^(F47*$C$43+$D$43))/1000</f>
        <v>5.8947636936602432</v>
      </c>
      <c r="G48" s="42">
        <f t="shared" si="5"/>
        <v>6.0300984128176527</v>
      </c>
      <c r="H48" s="42">
        <f t="shared" si="5"/>
        <v>6.0850983236770055</v>
      </c>
      <c r="I48" s="42">
        <f t="shared" si="5"/>
        <v>6.2815786235231759</v>
      </c>
      <c r="J48" s="42">
        <f t="shared" si="5"/>
        <v>6.3966884651975393</v>
      </c>
      <c r="K48" s="42">
        <f t="shared" si="5"/>
        <v>5.8947636936602432</v>
      </c>
      <c r="L48" s="42">
        <f t="shared" si="5"/>
        <v>6.1266772141784651</v>
      </c>
      <c r="M48" s="42">
        <f t="shared" si="5"/>
        <v>6.2248028335567955</v>
      </c>
    </row>
    <row r="51" spans="2:13" x14ac:dyDescent="0.35">
      <c r="B51" s="56" t="s">
        <v>56</v>
      </c>
      <c r="C51" s="56"/>
      <c r="D51" s="56"/>
      <c r="E51">
        <f>C24</f>
        <v>24.52</v>
      </c>
      <c r="F51">
        <f>E24</f>
        <v>24.388000000000002</v>
      </c>
      <c r="G51">
        <f>G24</f>
        <v>24.308</v>
      </c>
      <c r="H51">
        <f>I24</f>
        <v>24.256</v>
      </c>
      <c r="I51">
        <f>K24</f>
        <v>24.135999999999999</v>
      </c>
      <c r="J51">
        <f>M23</f>
        <v>24.123999999999999</v>
      </c>
      <c r="K51">
        <f>O24</f>
        <v>24.116</v>
      </c>
      <c r="L51">
        <f>Q23</f>
        <v>24.064</v>
      </c>
      <c r="M51">
        <f>S24</f>
        <v>23.984000000000002</v>
      </c>
    </row>
    <row r="52" spans="2:13" x14ac:dyDescent="0.35">
      <c r="B52" s="56" t="s">
        <v>49</v>
      </c>
      <c r="C52" s="56"/>
      <c r="D52" s="56"/>
      <c r="E52">
        <f>E51*$C$8</f>
        <v>18.39</v>
      </c>
      <c r="F52">
        <f t="shared" ref="F52:M52" si="6">F51*$C$8</f>
        <v>18.291</v>
      </c>
      <c r="G52">
        <f t="shared" si="6"/>
        <v>18.231000000000002</v>
      </c>
      <c r="H52">
        <f t="shared" si="6"/>
        <v>18.192</v>
      </c>
      <c r="I52">
        <f t="shared" si="6"/>
        <v>18.102</v>
      </c>
      <c r="J52">
        <f t="shared" si="6"/>
        <v>18.093</v>
      </c>
      <c r="K52">
        <f t="shared" si="6"/>
        <v>18.087</v>
      </c>
      <c r="L52">
        <f t="shared" si="6"/>
        <v>18.048000000000002</v>
      </c>
      <c r="M52">
        <f t="shared" si="6"/>
        <v>17.988</v>
      </c>
    </row>
    <row r="53" spans="2:13" x14ac:dyDescent="0.35">
      <c r="B53" s="56" t="s">
        <v>57</v>
      </c>
      <c r="C53" s="56"/>
      <c r="D53" s="56"/>
      <c r="E53" s="42">
        <f>10^(E52*$C$43+$D$43)</f>
        <v>114.06331782370188</v>
      </c>
      <c r="F53" s="42">
        <f t="shared" ref="F53:M53" si="7">10^(F52*$C$43+$D$43)</f>
        <v>122.93552493361943</v>
      </c>
      <c r="G53" s="42">
        <f t="shared" si="7"/>
        <v>128.64514475986317</v>
      </c>
      <c r="H53" s="42">
        <f t="shared" si="7"/>
        <v>132.49784048947006</v>
      </c>
      <c r="I53" s="42">
        <f t="shared" si="7"/>
        <v>141.83479979768339</v>
      </c>
      <c r="J53" s="42">
        <f t="shared" si="7"/>
        <v>142.8039433178688</v>
      </c>
      <c r="K53" s="42">
        <f t="shared" si="7"/>
        <v>143.45371513585715</v>
      </c>
      <c r="L53" s="42">
        <f t="shared" si="7"/>
        <v>147.74990149199039</v>
      </c>
      <c r="M53" s="42">
        <f t="shared" si="7"/>
        <v>154.61200068862067</v>
      </c>
    </row>
  </sheetData>
  <mergeCells count="17">
    <mergeCell ref="B46:D46"/>
    <mergeCell ref="A1:A3"/>
    <mergeCell ref="A4:A7"/>
    <mergeCell ref="A9:A12"/>
    <mergeCell ref="A13:A18"/>
    <mergeCell ref="B31:D31"/>
    <mergeCell ref="B32:D32"/>
    <mergeCell ref="B33:D33"/>
    <mergeCell ref="B35:D35"/>
    <mergeCell ref="B36:D36"/>
    <mergeCell ref="B37:D37"/>
    <mergeCell ref="C41:D41"/>
    <mergeCell ref="B47:D47"/>
    <mergeCell ref="B48:D48"/>
    <mergeCell ref="B51:D51"/>
    <mergeCell ref="B52:D52"/>
    <mergeCell ref="B53:D5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3"/>
  <sheetViews>
    <sheetView topLeftCell="C7" workbookViewId="0">
      <selection activeCell="U4" sqref="U4"/>
    </sheetView>
  </sheetViews>
  <sheetFormatPr defaultRowHeight="14.5" x14ac:dyDescent="0.35"/>
  <cols>
    <col min="2" max="2" width="16.26953125" bestFit="1" customWidth="1"/>
    <col min="3" max="3" width="12.26953125" bestFit="1" customWidth="1"/>
    <col min="5" max="5" width="12.26953125" bestFit="1" customWidth="1"/>
    <col min="7" max="7" width="12.26953125" bestFit="1" customWidth="1"/>
    <col min="9" max="9" width="12.81640625" bestFit="1" customWidth="1"/>
    <col min="11" max="11" width="12.81640625" bestFit="1" customWidth="1"/>
    <col min="13" max="13" width="12.81640625" bestFit="1" customWidth="1"/>
    <col min="15" max="15" width="12.81640625" bestFit="1" customWidth="1"/>
    <col min="17" max="17" width="12.81640625" bestFit="1" customWidth="1"/>
    <col min="19" max="19" width="12.81640625" bestFit="1" customWidth="1"/>
    <col min="21" max="21" width="10.26953125" bestFit="1" customWidth="1"/>
    <col min="23" max="23" width="10.26953125" bestFit="1" customWidth="1"/>
    <col min="25" max="25" width="10.26953125" bestFit="1" customWidth="1"/>
  </cols>
  <sheetData>
    <row r="1" spans="1:26" x14ac:dyDescent="0.35">
      <c r="A1" s="51" t="s">
        <v>0</v>
      </c>
      <c r="B1" s="1" t="s">
        <v>1</v>
      </c>
      <c r="C1" s="2">
        <v>44550</v>
      </c>
      <c r="D1" s="3"/>
      <c r="E1" s="2">
        <v>44550</v>
      </c>
      <c r="F1" s="3"/>
      <c r="G1" s="2">
        <v>44550</v>
      </c>
      <c r="H1" s="4"/>
      <c r="I1" s="2">
        <v>44550</v>
      </c>
      <c r="J1" s="3"/>
      <c r="K1" s="2">
        <v>44550</v>
      </c>
      <c r="L1" s="3"/>
      <c r="M1" s="2">
        <v>44550</v>
      </c>
      <c r="N1" s="3"/>
      <c r="O1" s="2">
        <v>44552</v>
      </c>
      <c r="P1" s="3"/>
      <c r="Q1" s="2">
        <v>44552</v>
      </c>
      <c r="R1" s="3"/>
      <c r="S1" s="2">
        <v>44552</v>
      </c>
      <c r="T1" s="3"/>
      <c r="U1" s="2">
        <v>44552</v>
      </c>
      <c r="V1" s="3"/>
      <c r="W1" s="2">
        <v>44552</v>
      </c>
      <c r="X1" s="3"/>
      <c r="Y1" s="2">
        <v>44552</v>
      </c>
      <c r="Z1" s="3"/>
    </row>
    <row r="2" spans="1:26" x14ac:dyDescent="0.35">
      <c r="A2" s="52"/>
      <c r="B2" s="5" t="s">
        <v>2</v>
      </c>
      <c r="C2" s="6" t="s">
        <v>3</v>
      </c>
      <c r="D2" s="7"/>
      <c r="E2" s="27" t="s">
        <v>3</v>
      </c>
      <c r="F2" s="7"/>
      <c r="G2" s="27" t="s">
        <v>3</v>
      </c>
      <c r="H2" s="8"/>
      <c r="I2" s="27" t="s">
        <v>3</v>
      </c>
      <c r="J2" s="7"/>
      <c r="K2" s="27" t="s">
        <v>3</v>
      </c>
      <c r="L2" s="7"/>
      <c r="M2" s="27" t="s">
        <v>3</v>
      </c>
      <c r="N2" s="7"/>
      <c r="O2" s="27" t="s">
        <v>3</v>
      </c>
      <c r="P2" s="7"/>
      <c r="Q2" s="27" t="s">
        <v>3</v>
      </c>
      <c r="R2" s="7"/>
      <c r="S2" s="27" t="s">
        <v>3</v>
      </c>
      <c r="T2" s="7"/>
      <c r="U2" s="27" t="s">
        <v>3</v>
      </c>
      <c r="V2" s="7"/>
      <c r="W2" s="27" t="s">
        <v>3</v>
      </c>
      <c r="X2" s="7"/>
      <c r="Y2" s="27" t="s">
        <v>3</v>
      </c>
      <c r="Z2" s="7"/>
    </row>
    <row r="3" spans="1:26" x14ac:dyDescent="0.35">
      <c r="A3" s="52"/>
      <c r="B3" s="5" t="s">
        <v>4</v>
      </c>
      <c r="C3" s="45">
        <v>0.49513888888888885</v>
      </c>
      <c r="D3" s="47"/>
      <c r="E3" s="44">
        <v>0.56805555555555554</v>
      </c>
      <c r="F3" s="47"/>
      <c r="G3" s="44">
        <v>0.58611111111111114</v>
      </c>
      <c r="H3" s="48"/>
      <c r="I3" s="28">
        <v>0.5131944444444444</v>
      </c>
      <c r="J3" s="7"/>
      <c r="K3" s="28">
        <v>0.53125</v>
      </c>
      <c r="L3" s="7"/>
      <c r="M3" s="28">
        <v>0.5493055555555556</v>
      </c>
      <c r="N3" s="7"/>
      <c r="O3" s="28">
        <v>0.58263888888888882</v>
      </c>
      <c r="P3" s="43"/>
      <c r="Q3" s="28">
        <v>0.60069444444444442</v>
      </c>
      <c r="R3" s="7"/>
      <c r="S3" s="28">
        <v>0.61875000000000002</v>
      </c>
      <c r="T3" s="7"/>
      <c r="U3" s="28">
        <v>0.63680555555555551</v>
      </c>
      <c r="V3" s="7"/>
      <c r="W3" s="28">
        <v>0.65555555555555556</v>
      </c>
      <c r="X3" s="7"/>
      <c r="Y3" s="28">
        <v>0.67361111111111116</v>
      </c>
      <c r="Z3" s="7"/>
    </row>
    <row r="4" spans="1:26" x14ac:dyDescent="0.35">
      <c r="A4" s="53" t="s">
        <v>5</v>
      </c>
      <c r="B4" s="10" t="s">
        <v>6</v>
      </c>
      <c r="C4" s="35" t="s">
        <v>58</v>
      </c>
      <c r="D4" s="16"/>
      <c r="E4" s="35" t="s">
        <v>58</v>
      </c>
      <c r="F4" s="16"/>
      <c r="G4" s="35" t="s">
        <v>58</v>
      </c>
      <c r="H4" s="17"/>
      <c r="I4" s="35" t="s">
        <v>59</v>
      </c>
      <c r="J4" s="16"/>
      <c r="K4" s="35" t="s">
        <v>59</v>
      </c>
      <c r="L4" s="16"/>
      <c r="M4" s="35" t="s">
        <v>59</v>
      </c>
      <c r="N4" s="16"/>
      <c r="O4" s="35" t="s">
        <v>60</v>
      </c>
      <c r="P4" s="16"/>
      <c r="Q4" s="35" t="s">
        <v>60</v>
      </c>
      <c r="R4" s="16"/>
      <c r="S4" s="35" t="s">
        <v>60</v>
      </c>
      <c r="T4" s="16"/>
      <c r="U4" s="35" t="s">
        <v>61</v>
      </c>
      <c r="V4" s="16"/>
      <c r="W4" s="35" t="s">
        <v>61</v>
      </c>
      <c r="X4" s="16"/>
      <c r="Y4" s="35" t="s">
        <v>62</v>
      </c>
      <c r="Z4" s="16"/>
    </row>
    <row r="5" spans="1:26" x14ac:dyDescent="0.35">
      <c r="A5" s="53"/>
      <c r="B5" s="10" t="s">
        <v>7</v>
      </c>
      <c r="C5" s="15" t="s">
        <v>22</v>
      </c>
      <c r="D5" s="16"/>
      <c r="E5" s="15" t="s">
        <v>22</v>
      </c>
      <c r="F5" s="16"/>
      <c r="G5" s="15" t="s">
        <v>22</v>
      </c>
      <c r="H5" s="17"/>
      <c r="I5" s="26" t="s">
        <v>22</v>
      </c>
      <c r="J5" s="16"/>
      <c r="K5" s="26" t="s">
        <v>22</v>
      </c>
      <c r="L5" s="16"/>
      <c r="M5" s="26" t="s">
        <v>22</v>
      </c>
      <c r="N5" s="16"/>
      <c r="O5" s="26" t="s">
        <v>22</v>
      </c>
      <c r="P5" s="16"/>
      <c r="Q5" s="26" t="s">
        <v>22</v>
      </c>
      <c r="R5" s="16"/>
      <c r="S5" s="26" t="s">
        <v>22</v>
      </c>
      <c r="T5" s="16"/>
      <c r="U5" s="26" t="s">
        <v>22</v>
      </c>
      <c r="V5" s="16"/>
      <c r="W5" s="26" t="s">
        <v>22</v>
      </c>
      <c r="X5" s="16"/>
      <c r="Y5" s="26" t="s">
        <v>22</v>
      </c>
      <c r="Z5" s="16"/>
    </row>
    <row r="6" spans="1:26" x14ac:dyDescent="0.35">
      <c r="A6" s="53"/>
      <c r="B6" s="10" t="s">
        <v>8</v>
      </c>
      <c r="C6" s="15" t="s">
        <v>20</v>
      </c>
      <c r="D6" s="16"/>
      <c r="E6" s="15" t="s">
        <v>20</v>
      </c>
      <c r="F6" s="16"/>
      <c r="G6" s="15" t="s">
        <v>20</v>
      </c>
      <c r="H6" s="17"/>
      <c r="I6" s="26" t="s">
        <v>20</v>
      </c>
      <c r="J6" s="16"/>
      <c r="K6" s="26" t="s">
        <v>20</v>
      </c>
      <c r="L6" s="16"/>
      <c r="M6" s="26" t="s">
        <v>20</v>
      </c>
      <c r="N6" s="16"/>
      <c r="O6" s="26" t="s">
        <v>20</v>
      </c>
      <c r="P6" s="16"/>
      <c r="Q6" s="26" t="s">
        <v>20</v>
      </c>
      <c r="R6" s="16"/>
      <c r="S6" s="26" t="s">
        <v>20</v>
      </c>
      <c r="T6" s="16"/>
      <c r="U6" s="26" t="s">
        <v>20</v>
      </c>
      <c r="V6" s="16"/>
      <c r="W6" s="26" t="s">
        <v>20</v>
      </c>
      <c r="X6" s="16"/>
      <c r="Y6" s="26" t="s">
        <v>20</v>
      </c>
      <c r="Z6" s="16"/>
    </row>
    <row r="7" spans="1:26" x14ac:dyDescent="0.35">
      <c r="A7" s="53"/>
      <c r="B7" s="10" t="s">
        <v>9</v>
      </c>
      <c r="C7" s="15" t="s">
        <v>21</v>
      </c>
      <c r="D7" s="16"/>
      <c r="E7" s="15" t="s">
        <v>21</v>
      </c>
      <c r="F7" s="16"/>
      <c r="G7" s="15" t="s">
        <v>21</v>
      </c>
      <c r="H7" s="17"/>
      <c r="I7" s="26" t="s">
        <v>21</v>
      </c>
      <c r="J7" s="16"/>
      <c r="K7" s="26" t="s">
        <v>21</v>
      </c>
      <c r="L7" s="16"/>
      <c r="M7" s="26" t="s">
        <v>21</v>
      </c>
      <c r="N7" s="16"/>
      <c r="O7" s="26" t="s">
        <v>21</v>
      </c>
      <c r="P7" s="16"/>
      <c r="Q7" s="26" t="s">
        <v>21</v>
      </c>
      <c r="R7" s="16"/>
      <c r="S7" s="26" t="s">
        <v>21</v>
      </c>
      <c r="T7" s="16"/>
      <c r="U7" s="26" t="s">
        <v>21</v>
      </c>
      <c r="V7" s="16"/>
      <c r="W7" s="26" t="s">
        <v>21</v>
      </c>
      <c r="X7" s="16"/>
      <c r="Y7" s="26" t="s">
        <v>21</v>
      </c>
      <c r="Z7" s="16"/>
    </row>
    <row r="8" spans="1:26" x14ac:dyDescent="0.35">
      <c r="A8" s="41" t="s">
        <v>10</v>
      </c>
      <c r="B8" s="5" t="s">
        <v>11</v>
      </c>
      <c r="C8" s="15">
        <v>0.75</v>
      </c>
      <c r="D8" s="16"/>
      <c r="E8" s="15">
        <v>0.75</v>
      </c>
      <c r="F8" s="16"/>
      <c r="G8" s="15">
        <v>0.75</v>
      </c>
      <c r="H8" s="17"/>
      <c r="I8" s="15">
        <v>0.75</v>
      </c>
      <c r="J8" s="16"/>
      <c r="K8" s="15">
        <v>0.75</v>
      </c>
      <c r="L8" s="16"/>
      <c r="M8" s="15">
        <v>0.75</v>
      </c>
      <c r="N8" s="16"/>
      <c r="O8" s="15">
        <v>0.75</v>
      </c>
      <c r="P8" s="16"/>
      <c r="Q8" s="15">
        <v>0.75</v>
      </c>
      <c r="R8" s="16"/>
      <c r="S8" s="15">
        <v>0.75</v>
      </c>
      <c r="T8" s="16"/>
      <c r="U8" s="15">
        <v>0.75</v>
      </c>
      <c r="V8" s="16"/>
      <c r="W8" s="15">
        <v>0.75</v>
      </c>
      <c r="X8" s="16"/>
      <c r="Y8" s="15">
        <v>0.75</v>
      </c>
      <c r="Z8" s="16"/>
    </row>
    <row r="9" spans="1:26" x14ac:dyDescent="0.35">
      <c r="A9" s="53" t="s">
        <v>12</v>
      </c>
      <c r="B9" s="10" t="s">
        <v>13</v>
      </c>
      <c r="C9" s="15" t="s">
        <v>14</v>
      </c>
      <c r="D9" s="16"/>
      <c r="E9" s="15" t="s">
        <v>14</v>
      </c>
      <c r="F9" s="16"/>
      <c r="G9" s="15" t="s">
        <v>14</v>
      </c>
      <c r="H9" s="17"/>
      <c r="I9" s="26" t="s">
        <v>14</v>
      </c>
      <c r="J9" s="16"/>
      <c r="K9" s="26" t="s">
        <v>14</v>
      </c>
      <c r="L9" s="16"/>
      <c r="M9" s="26" t="s">
        <v>14</v>
      </c>
      <c r="N9" s="16"/>
      <c r="O9" s="26" t="s">
        <v>14</v>
      </c>
      <c r="P9" s="16"/>
      <c r="Q9" s="26" t="s">
        <v>14</v>
      </c>
      <c r="R9" s="16"/>
      <c r="S9" s="26" t="s">
        <v>14</v>
      </c>
      <c r="T9" s="16"/>
      <c r="U9" s="26" t="s">
        <v>14</v>
      </c>
      <c r="V9" s="16"/>
      <c r="W9" s="26" t="s">
        <v>14</v>
      </c>
      <c r="X9" s="16"/>
      <c r="Y9" s="26" t="s">
        <v>14</v>
      </c>
      <c r="Z9" s="16"/>
    </row>
    <row r="10" spans="1:26" x14ac:dyDescent="0.35">
      <c r="A10" s="53"/>
      <c r="B10" s="10" t="s">
        <v>15</v>
      </c>
      <c r="C10" s="15">
        <v>214</v>
      </c>
      <c r="D10" s="16"/>
      <c r="E10" s="15">
        <v>214</v>
      </c>
      <c r="F10" s="16"/>
      <c r="G10" s="15">
        <v>214</v>
      </c>
      <c r="H10" s="17"/>
      <c r="I10" s="15">
        <v>214</v>
      </c>
      <c r="J10" s="16"/>
      <c r="K10" s="15">
        <v>214</v>
      </c>
      <c r="L10" s="16"/>
      <c r="M10" s="15">
        <v>214</v>
      </c>
      <c r="N10" s="16"/>
      <c r="O10" s="15">
        <v>214</v>
      </c>
      <c r="P10" s="16"/>
      <c r="Q10" s="15">
        <v>214</v>
      </c>
      <c r="R10" s="16"/>
      <c r="S10" s="15">
        <v>214</v>
      </c>
      <c r="T10" s="16"/>
      <c r="U10" s="15">
        <v>214</v>
      </c>
      <c r="V10" s="16"/>
      <c r="W10" s="15">
        <v>214</v>
      </c>
      <c r="X10" s="16"/>
      <c r="Y10" s="15">
        <v>214</v>
      </c>
      <c r="Z10" s="16"/>
    </row>
    <row r="11" spans="1:26" x14ac:dyDescent="0.35">
      <c r="A11" s="53"/>
      <c r="B11" s="10" t="s">
        <v>16</v>
      </c>
      <c r="C11" s="15"/>
      <c r="D11" s="16"/>
      <c r="E11" s="26"/>
      <c r="F11" s="16"/>
      <c r="G11" s="26"/>
      <c r="H11" s="17"/>
      <c r="I11" s="26"/>
      <c r="J11" s="16"/>
      <c r="K11" s="26"/>
      <c r="L11" s="16"/>
      <c r="M11" s="26"/>
      <c r="N11" s="16"/>
      <c r="O11" s="26"/>
      <c r="P11" s="16"/>
      <c r="Q11" s="26"/>
      <c r="R11" s="16"/>
      <c r="S11" s="26"/>
      <c r="T11" s="16"/>
      <c r="U11" s="26"/>
      <c r="V11" s="16"/>
      <c r="W11" s="26"/>
      <c r="X11" s="16"/>
      <c r="Y11" s="26"/>
      <c r="Z11" s="16"/>
    </row>
    <row r="12" spans="1:26" x14ac:dyDescent="0.35">
      <c r="A12" s="53"/>
      <c r="B12" s="10" t="s">
        <v>17</v>
      </c>
      <c r="C12" s="15"/>
      <c r="D12" s="16"/>
      <c r="E12" s="26"/>
      <c r="F12" s="16"/>
      <c r="G12" s="26"/>
      <c r="H12" s="17"/>
      <c r="I12" s="26"/>
      <c r="J12" s="16"/>
      <c r="K12" s="26"/>
      <c r="L12" s="16"/>
      <c r="M12" s="26"/>
      <c r="N12" s="16"/>
      <c r="O12" s="26"/>
      <c r="P12" s="16"/>
      <c r="Q12" s="26"/>
      <c r="R12" s="16"/>
      <c r="S12" s="26"/>
      <c r="T12" s="16"/>
      <c r="U12" s="26"/>
      <c r="V12" s="16"/>
      <c r="W12" s="26"/>
      <c r="X12" s="16"/>
      <c r="Y12" s="26"/>
      <c r="Z12" s="16"/>
    </row>
    <row r="13" spans="1:26" x14ac:dyDescent="0.35">
      <c r="A13" s="54" t="s">
        <v>18</v>
      </c>
      <c r="B13" s="14" t="s">
        <v>19</v>
      </c>
      <c r="C13" s="15"/>
      <c r="D13" s="16"/>
      <c r="E13" s="26"/>
      <c r="F13" s="16"/>
      <c r="G13" s="26"/>
      <c r="H13" s="17"/>
      <c r="I13" s="26"/>
      <c r="J13" s="16"/>
      <c r="K13" s="26"/>
      <c r="L13" s="16"/>
      <c r="M13" s="26"/>
      <c r="N13" s="16"/>
      <c r="O13" s="26"/>
      <c r="P13" s="16"/>
      <c r="Q13" s="29"/>
      <c r="R13" s="34"/>
      <c r="S13" s="26"/>
      <c r="T13" s="16"/>
      <c r="U13" s="26"/>
      <c r="V13" s="16"/>
      <c r="W13" s="29"/>
      <c r="X13" s="34"/>
      <c r="Y13" s="26"/>
      <c r="Z13" s="16"/>
    </row>
    <row r="14" spans="1:26" x14ac:dyDescent="0.35">
      <c r="A14" s="54"/>
      <c r="B14" s="14" t="s">
        <v>19</v>
      </c>
      <c r="C14" s="18"/>
      <c r="D14" s="19"/>
      <c r="E14" s="31"/>
      <c r="F14" s="19"/>
      <c r="G14" s="31"/>
      <c r="H14" s="20"/>
      <c r="I14" s="26"/>
      <c r="J14" s="16"/>
      <c r="K14" s="26"/>
      <c r="L14" s="16"/>
      <c r="M14" s="26"/>
      <c r="N14" s="16"/>
      <c r="O14" s="30"/>
      <c r="P14" s="19"/>
      <c r="Q14" s="26"/>
      <c r="R14" s="16"/>
      <c r="S14" s="26"/>
      <c r="T14" s="16"/>
      <c r="U14" s="30"/>
      <c r="V14" s="19"/>
      <c r="W14" s="26"/>
      <c r="X14" s="16"/>
      <c r="Y14" s="26"/>
      <c r="Z14" s="16"/>
    </row>
    <row r="15" spans="1:26" x14ac:dyDescent="0.35">
      <c r="A15" s="54"/>
      <c r="B15" s="14" t="s">
        <v>19</v>
      </c>
      <c r="C15" s="15"/>
      <c r="D15" s="16"/>
      <c r="E15" s="26"/>
      <c r="F15" s="16"/>
      <c r="G15" s="26"/>
      <c r="H15" s="17"/>
      <c r="I15" s="26"/>
      <c r="J15" s="16"/>
      <c r="K15" s="26"/>
      <c r="L15" s="16"/>
      <c r="M15" s="26"/>
      <c r="N15" s="16"/>
      <c r="O15" s="26"/>
      <c r="P15" s="16"/>
      <c r="Q15" s="26"/>
      <c r="R15" s="16"/>
      <c r="S15" s="26"/>
      <c r="T15" s="16"/>
      <c r="U15" s="26"/>
      <c r="V15" s="16"/>
      <c r="W15" s="26"/>
      <c r="X15" s="16"/>
      <c r="Y15" s="26"/>
      <c r="Z15" s="16"/>
    </row>
    <row r="16" spans="1:26" x14ac:dyDescent="0.35">
      <c r="A16" s="54"/>
      <c r="B16" s="14" t="s">
        <v>19</v>
      </c>
      <c r="C16" s="15"/>
      <c r="D16" s="19"/>
      <c r="E16" s="31"/>
      <c r="F16" s="19"/>
      <c r="G16" s="31"/>
      <c r="H16" s="20"/>
      <c r="I16" s="26"/>
      <c r="J16" s="19"/>
      <c r="K16" s="31"/>
      <c r="L16" s="19"/>
      <c r="M16" s="26"/>
      <c r="N16" s="16"/>
      <c r="O16" s="26"/>
      <c r="P16" s="19"/>
      <c r="Q16" s="26"/>
      <c r="R16" s="19"/>
      <c r="S16" s="26"/>
      <c r="T16" s="16"/>
      <c r="U16" s="26"/>
      <c r="V16" s="19"/>
      <c r="W16" s="26"/>
      <c r="X16" s="19"/>
      <c r="Y16" s="26"/>
      <c r="Z16" s="16"/>
    </row>
    <row r="17" spans="1:26" x14ac:dyDescent="0.35">
      <c r="A17" s="54"/>
      <c r="B17" s="14" t="s">
        <v>19</v>
      </c>
      <c r="C17" s="15"/>
      <c r="D17" s="16"/>
      <c r="E17" s="26"/>
      <c r="F17" s="16"/>
      <c r="G17" s="26"/>
      <c r="H17" s="17"/>
      <c r="I17" s="26"/>
      <c r="J17" s="16"/>
      <c r="K17" s="26"/>
      <c r="L17" s="16"/>
      <c r="M17" s="26"/>
      <c r="N17" s="16"/>
      <c r="O17" s="26"/>
      <c r="P17" s="16"/>
      <c r="Q17" s="26"/>
      <c r="R17" s="16"/>
      <c r="S17" s="26"/>
      <c r="T17" s="16"/>
      <c r="U17" s="26"/>
      <c r="V17" s="16"/>
      <c r="W17" s="26"/>
      <c r="X17" s="16"/>
      <c r="Y17" s="26"/>
      <c r="Z17" s="16"/>
    </row>
    <row r="18" spans="1:26" ht="15" thickBot="1" x14ac:dyDescent="0.4">
      <c r="A18" s="55"/>
      <c r="B18" s="21" t="s">
        <v>19</v>
      </c>
      <c r="C18" s="22"/>
      <c r="D18" s="23"/>
      <c r="E18" s="33"/>
      <c r="F18" s="23"/>
      <c r="G18" s="33"/>
      <c r="H18" s="24"/>
      <c r="I18" s="33"/>
      <c r="J18" s="23"/>
      <c r="K18" s="33"/>
      <c r="L18" s="23"/>
      <c r="M18" s="33"/>
      <c r="N18" s="23"/>
      <c r="O18" s="33"/>
      <c r="P18" s="23"/>
      <c r="Q18" s="33"/>
      <c r="R18" s="23"/>
      <c r="S18" s="33"/>
      <c r="T18" s="23"/>
      <c r="U18" s="33"/>
      <c r="V18" s="23"/>
      <c r="W18" s="33"/>
      <c r="X18" s="23"/>
      <c r="Y18" s="33"/>
      <c r="Z18" s="23"/>
    </row>
    <row r="19" spans="1:26" x14ac:dyDescent="0.35">
      <c r="C19">
        <v>6.032</v>
      </c>
      <c r="D19">
        <v>215.029</v>
      </c>
      <c r="E19">
        <v>8.1880000000000006</v>
      </c>
      <c r="F19">
        <v>2292.35</v>
      </c>
      <c r="G19">
        <v>7.2080000000000002</v>
      </c>
      <c r="H19">
        <v>86.465999999999994</v>
      </c>
      <c r="I19">
        <v>7.2359999999999998</v>
      </c>
      <c r="J19">
        <v>160.994</v>
      </c>
      <c r="K19">
        <v>6.1639999999999997</v>
      </c>
      <c r="L19">
        <v>48.031999999999996</v>
      </c>
      <c r="M19">
        <v>5.6</v>
      </c>
      <c r="N19">
        <v>139.511</v>
      </c>
      <c r="O19">
        <v>5.476</v>
      </c>
      <c r="P19">
        <v>160.15899999999999</v>
      </c>
      <c r="S19">
        <v>7.22</v>
      </c>
      <c r="T19">
        <v>147.18700000000001</v>
      </c>
      <c r="U19">
        <v>7.2080000000000002</v>
      </c>
      <c r="V19">
        <v>66.619</v>
      </c>
      <c r="W19">
        <v>5.5279999999999996</v>
      </c>
      <c r="X19">
        <v>120.075</v>
      </c>
      <c r="Y19">
        <v>5.484</v>
      </c>
      <c r="Z19">
        <v>124.71599999999999</v>
      </c>
    </row>
    <row r="20" spans="1:26" x14ac:dyDescent="0.35">
      <c r="C20">
        <v>8.2439999999999998</v>
      </c>
      <c r="D20">
        <v>2122.0169999999998</v>
      </c>
      <c r="E20">
        <v>11.616</v>
      </c>
      <c r="F20">
        <v>2772.6239999999998</v>
      </c>
      <c r="G20">
        <v>8.1679999999999993</v>
      </c>
      <c r="H20">
        <v>1884.432</v>
      </c>
      <c r="I20">
        <v>8.24</v>
      </c>
      <c r="J20">
        <v>1941.3520000000001</v>
      </c>
      <c r="K20">
        <v>8.1880000000000006</v>
      </c>
      <c r="L20">
        <v>1623.627</v>
      </c>
      <c r="M20">
        <v>8.2439999999999998</v>
      </c>
      <c r="N20">
        <v>2173.8040000000001</v>
      </c>
      <c r="O20">
        <v>8.2520000000000007</v>
      </c>
      <c r="P20">
        <v>7292.8530000000001</v>
      </c>
      <c r="Q20">
        <v>8.1920000000000002</v>
      </c>
      <c r="R20">
        <v>2987.37</v>
      </c>
      <c r="S20">
        <v>8.2560000000000002</v>
      </c>
      <c r="T20">
        <v>625.41700000000003</v>
      </c>
      <c r="U20">
        <v>10.055999999999999</v>
      </c>
      <c r="V20">
        <v>12.878</v>
      </c>
      <c r="W20">
        <v>11.628</v>
      </c>
      <c r="X20">
        <v>6355.1279999999997</v>
      </c>
      <c r="Y20">
        <v>16.388000000000002</v>
      </c>
      <c r="Z20">
        <v>15.589</v>
      </c>
    </row>
    <row r="21" spans="1:26" x14ac:dyDescent="0.35">
      <c r="C21">
        <v>11.676</v>
      </c>
      <c r="D21">
        <v>3073.8220000000001</v>
      </c>
      <c r="E21">
        <v>16.335999999999999</v>
      </c>
      <c r="F21">
        <v>58.286000000000001</v>
      </c>
      <c r="G21">
        <v>11.596</v>
      </c>
      <c r="H21">
        <v>2572.2530000000002</v>
      </c>
      <c r="I21">
        <v>11.676</v>
      </c>
      <c r="J21">
        <v>2882.82</v>
      </c>
      <c r="K21">
        <v>11.62</v>
      </c>
      <c r="L21">
        <v>2672.89</v>
      </c>
      <c r="M21">
        <v>11.68</v>
      </c>
      <c r="N21">
        <v>3257.7440000000001</v>
      </c>
      <c r="O21">
        <v>11.672000000000001</v>
      </c>
      <c r="P21">
        <v>3776.069</v>
      </c>
      <c r="Q21">
        <v>11.616</v>
      </c>
      <c r="R21">
        <v>3582.1909999999998</v>
      </c>
      <c r="S21">
        <v>11.692</v>
      </c>
      <c r="T21">
        <v>1794.5830000000001</v>
      </c>
      <c r="U21">
        <v>11.64</v>
      </c>
      <c r="V21">
        <v>6215.9380000000001</v>
      </c>
      <c r="W21">
        <v>16.431999999999999</v>
      </c>
      <c r="X21">
        <v>16.280999999999999</v>
      </c>
      <c r="Y21">
        <v>17.187999999999999</v>
      </c>
      <c r="Z21">
        <v>4354.5569999999998</v>
      </c>
    </row>
    <row r="22" spans="1:26" x14ac:dyDescent="0.35">
      <c r="C22">
        <v>16.347999999999999</v>
      </c>
      <c r="D22">
        <v>85.391000000000005</v>
      </c>
      <c r="E22" s="42">
        <v>17.463999999999999</v>
      </c>
      <c r="F22" s="42">
        <v>154.99</v>
      </c>
      <c r="G22">
        <v>16.315999999999999</v>
      </c>
      <c r="H22">
        <v>49.009</v>
      </c>
      <c r="I22">
        <v>16.36</v>
      </c>
      <c r="J22">
        <v>63.713000000000001</v>
      </c>
      <c r="K22" s="46">
        <v>25.367999999999999</v>
      </c>
      <c r="L22" s="46">
        <v>62.073</v>
      </c>
      <c r="M22">
        <v>16.372</v>
      </c>
      <c r="N22">
        <v>58.854999999999997</v>
      </c>
      <c r="O22">
        <v>16.408000000000001</v>
      </c>
      <c r="P22">
        <v>41.195</v>
      </c>
      <c r="Q22">
        <v>16.367999999999999</v>
      </c>
      <c r="R22">
        <v>66.885999999999996</v>
      </c>
      <c r="S22">
        <v>16.384</v>
      </c>
      <c r="T22">
        <v>71.751000000000005</v>
      </c>
      <c r="U22">
        <v>16.448</v>
      </c>
      <c r="V22">
        <v>20.234999999999999</v>
      </c>
      <c r="W22">
        <v>17.143999999999998</v>
      </c>
      <c r="X22">
        <v>32396.079000000002</v>
      </c>
      <c r="Y22">
        <v>22.94</v>
      </c>
      <c r="Z22">
        <v>470.03</v>
      </c>
    </row>
    <row r="23" spans="1:26" x14ac:dyDescent="0.35">
      <c r="C23" s="42">
        <v>17.248000000000001</v>
      </c>
      <c r="D23" s="42">
        <v>172.828</v>
      </c>
      <c r="G23" s="42">
        <v>17.332000000000001</v>
      </c>
      <c r="H23" s="42">
        <v>135.876</v>
      </c>
      <c r="U23">
        <v>17.143999999999998</v>
      </c>
      <c r="V23">
        <v>31853.493999999999</v>
      </c>
      <c r="W23">
        <v>22.876000000000001</v>
      </c>
      <c r="X23">
        <v>3164.3850000000002</v>
      </c>
    </row>
    <row r="24" spans="1:26" x14ac:dyDescent="0.35">
      <c r="C24" t="s">
        <v>26</v>
      </c>
      <c r="D24">
        <v>5669.0860000000002</v>
      </c>
      <c r="E24" t="s">
        <v>26</v>
      </c>
      <c r="F24">
        <v>5278.25</v>
      </c>
      <c r="G24" t="s">
        <v>26</v>
      </c>
      <c r="H24">
        <v>4728.0370000000003</v>
      </c>
      <c r="I24" t="s">
        <v>26</v>
      </c>
      <c r="J24">
        <v>5048.88</v>
      </c>
      <c r="K24" t="s">
        <v>26</v>
      </c>
      <c r="L24">
        <v>4406.6210000000001</v>
      </c>
      <c r="M24" t="s">
        <v>26</v>
      </c>
      <c r="N24">
        <v>5629.9139999999998</v>
      </c>
      <c r="O24" t="s">
        <v>26</v>
      </c>
      <c r="P24" s="50">
        <v>11270.276</v>
      </c>
      <c r="Q24" t="s">
        <v>26</v>
      </c>
      <c r="R24" s="50">
        <v>6636.4470000000001</v>
      </c>
      <c r="S24" t="s">
        <v>26</v>
      </c>
      <c r="T24" s="50">
        <v>2638.9380000000001</v>
      </c>
      <c r="U24">
        <v>22.98</v>
      </c>
      <c r="V24">
        <v>3124.0430000000001</v>
      </c>
      <c r="W24" t="s">
        <v>26</v>
      </c>
      <c r="X24">
        <v>42051.947</v>
      </c>
    </row>
    <row r="25" spans="1:26" x14ac:dyDescent="0.35">
      <c r="U25" t="s">
        <v>26</v>
      </c>
      <c r="V25">
        <v>41293.207000000002</v>
      </c>
      <c r="Y25" t="s">
        <v>26</v>
      </c>
      <c r="Z25">
        <v>4964.893</v>
      </c>
    </row>
    <row r="26" spans="1:26" x14ac:dyDescent="0.35">
      <c r="N26" t="s">
        <v>63</v>
      </c>
      <c r="O26" s="50">
        <f>P20/P24*100</f>
        <v>64.708734728413049</v>
      </c>
      <c r="P26" t="s">
        <v>63</v>
      </c>
      <c r="Q26" s="50">
        <f>R20/R24*100</f>
        <v>45.014598926202524</v>
      </c>
      <c r="R26" t="s">
        <v>63</v>
      </c>
      <c r="S26" s="50">
        <f>T20/T24*100</f>
        <v>23.699571570078572</v>
      </c>
    </row>
    <row r="27" spans="1:26" x14ac:dyDescent="0.35">
      <c r="N27" t="s">
        <v>64</v>
      </c>
      <c r="O27" s="50">
        <f>P21/P24*100</f>
        <v>33.5046719352747</v>
      </c>
      <c r="P27" t="s">
        <v>64</v>
      </c>
      <c r="Q27" s="50">
        <f>R21/R24*100</f>
        <v>53.977542501281185</v>
      </c>
      <c r="R27" t="s">
        <v>64</v>
      </c>
      <c r="S27" s="50">
        <f>T21/T24*100</f>
        <v>68.00398493636456</v>
      </c>
    </row>
    <row r="31" spans="1:26" x14ac:dyDescent="0.35">
      <c r="B31" s="56" t="s">
        <v>51</v>
      </c>
      <c r="C31" s="56"/>
      <c r="D31" s="56"/>
      <c r="E31">
        <f>C21</f>
        <v>11.676</v>
      </c>
      <c r="F31">
        <f>E20</f>
        <v>11.616</v>
      </c>
      <c r="G31">
        <f>G21</f>
        <v>11.596</v>
      </c>
      <c r="H31">
        <f>I21</f>
        <v>11.676</v>
      </c>
      <c r="I31">
        <f>K21</f>
        <v>11.62</v>
      </c>
      <c r="J31">
        <f>M21</f>
        <v>11.68</v>
      </c>
      <c r="K31">
        <f>O21</f>
        <v>11.672000000000001</v>
      </c>
      <c r="L31">
        <f>Q22</f>
        <v>16.367999999999999</v>
      </c>
      <c r="M31">
        <f>S21</f>
        <v>11.692</v>
      </c>
      <c r="N31">
        <f>U21</f>
        <v>11.64</v>
      </c>
      <c r="O31">
        <f>W20</f>
        <v>11.628</v>
      </c>
      <c r="P31" s="42">
        <f>Y21</f>
        <v>17.187999999999999</v>
      </c>
    </row>
    <row r="32" spans="1:26" x14ac:dyDescent="0.35">
      <c r="B32" s="56" t="s">
        <v>49</v>
      </c>
      <c r="C32" s="56"/>
      <c r="D32" s="56"/>
      <c r="E32">
        <f>E31*$C$8</f>
        <v>8.7569999999999997</v>
      </c>
      <c r="F32">
        <f>Sheet2!E33</f>
        <v>166.93592195506997</v>
      </c>
      <c r="G32">
        <f t="shared" ref="G32:P32" si="0">G31*$C$8</f>
        <v>8.6969999999999992</v>
      </c>
      <c r="H32">
        <f t="shared" si="0"/>
        <v>8.7569999999999997</v>
      </c>
      <c r="I32">
        <f t="shared" si="0"/>
        <v>8.7149999999999999</v>
      </c>
      <c r="J32">
        <f t="shared" si="0"/>
        <v>8.76</v>
      </c>
      <c r="K32">
        <f t="shared" si="0"/>
        <v>8.7540000000000013</v>
      </c>
      <c r="L32">
        <f t="shared" si="0"/>
        <v>12.276</v>
      </c>
      <c r="M32">
        <f t="shared" si="0"/>
        <v>8.7690000000000001</v>
      </c>
      <c r="N32">
        <f t="shared" si="0"/>
        <v>8.73</v>
      </c>
      <c r="O32">
        <f t="shared" si="0"/>
        <v>8.7210000000000001</v>
      </c>
      <c r="P32" s="42">
        <f t="shared" si="0"/>
        <v>12.890999999999998</v>
      </c>
    </row>
    <row r="33" spans="2:17" x14ac:dyDescent="0.35">
      <c r="B33" s="56" t="s">
        <v>50</v>
      </c>
      <c r="C33" s="56"/>
      <c r="D33" s="56"/>
      <c r="E33">
        <f>(10^(E32*$C$43+$D$43))/1000</f>
        <v>166.93592195506997</v>
      </c>
      <c r="F33">
        <f t="shared" ref="F33:P33" si="1">(10^(F32*$C$43+$D$43))/1000</f>
        <v>1.7577457055711505E-50</v>
      </c>
      <c r="G33">
        <f t="shared" si="1"/>
        <v>174.68909704601023</v>
      </c>
      <c r="H33">
        <f t="shared" si="1"/>
        <v>166.93592195506997</v>
      </c>
      <c r="I33">
        <f t="shared" si="1"/>
        <v>172.32607643674933</v>
      </c>
      <c r="J33">
        <f t="shared" si="1"/>
        <v>166.55742577938906</v>
      </c>
      <c r="K33">
        <f t="shared" si="1"/>
        <v>167.31527825064214</v>
      </c>
      <c r="L33">
        <f t="shared" si="1"/>
        <v>11.646794159430206</v>
      </c>
      <c r="M33">
        <f t="shared" si="1"/>
        <v>165.42707849217476</v>
      </c>
      <c r="N33">
        <f t="shared" si="1"/>
        <v>170.38132841787404</v>
      </c>
      <c r="O33">
        <f t="shared" si="1"/>
        <v>171.54552761745234</v>
      </c>
      <c r="P33" s="42">
        <f t="shared" si="1"/>
        <v>7.3133675426840439</v>
      </c>
    </row>
    <row r="35" spans="2:17" x14ac:dyDescent="0.35">
      <c r="B35" s="56" t="s">
        <v>52</v>
      </c>
      <c r="C35" s="56"/>
      <c r="D35" s="56"/>
      <c r="E35">
        <f>C20</f>
        <v>8.2439999999999998</v>
      </c>
      <c r="F35">
        <f>E19</f>
        <v>8.1880000000000006</v>
      </c>
      <c r="G35">
        <f>G20</f>
        <v>8.1679999999999993</v>
      </c>
      <c r="H35">
        <f>I20</f>
        <v>8.24</v>
      </c>
      <c r="I35">
        <f>K20</f>
        <v>8.1880000000000006</v>
      </c>
      <c r="J35">
        <f>M20</f>
        <v>8.2439999999999998</v>
      </c>
      <c r="K35">
        <f>O20</f>
        <v>8.2520000000000007</v>
      </c>
      <c r="L35">
        <f>Q21</f>
        <v>11.616</v>
      </c>
      <c r="M35">
        <f>S20</f>
        <v>8.2560000000000002</v>
      </c>
      <c r="N35" s="42">
        <f>U20</f>
        <v>10.055999999999999</v>
      </c>
      <c r="O35" s="42">
        <f>W20</f>
        <v>11.628</v>
      </c>
      <c r="P35" s="42">
        <f>Y20</f>
        <v>16.388000000000002</v>
      </c>
      <c r="Q35" s="25"/>
    </row>
    <row r="36" spans="2:17" x14ac:dyDescent="0.35">
      <c r="B36" s="56" t="s">
        <v>49</v>
      </c>
      <c r="C36" s="56"/>
      <c r="D36" s="56"/>
      <c r="E36">
        <f>E35*$C8</f>
        <v>6.1829999999999998</v>
      </c>
      <c r="F36">
        <f t="shared" ref="F36:P36" si="2">F35*$C8</f>
        <v>6.141</v>
      </c>
      <c r="G36">
        <f t="shared" si="2"/>
        <v>6.1259999999999994</v>
      </c>
      <c r="H36">
        <f t="shared" si="2"/>
        <v>6.18</v>
      </c>
      <c r="I36">
        <f t="shared" si="2"/>
        <v>6.141</v>
      </c>
      <c r="J36">
        <f t="shared" si="2"/>
        <v>6.1829999999999998</v>
      </c>
      <c r="K36">
        <f t="shared" si="2"/>
        <v>6.1890000000000001</v>
      </c>
      <c r="L36">
        <f t="shared" si="2"/>
        <v>8.7119999999999997</v>
      </c>
      <c r="M36">
        <f t="shared" si="2"/>
        <v>6.1920000000000002</v>
      </c>
      <c r="N36" s="42">
        <f t="shared" si="2"/>
        <v>7.5419999999999998</v>
      </c>
      <c r="O36" s="42">
        <f t="shared" si="2"/>
        <v>8.7210000000000001</v>
      </c>
      <c r="P36" s="42">
        <f t="shared" si="2"/>
        <v>12.291</v>
      </c>
      <c r="Q36" s="25"/>
    </row>
    <row r="37" spans="2:17" x14ac:dyDescent="0.35">
      <c r="B37" s="56" t="s">
        <v>50</v>
      </c>
      <c r="C37" s="56"/>
      <c r="D37" s="56"/>
      <c r="E37">
        <f>(10^(E36*$C$43+$D$43))/1000</f>
        <v>1170.4859365689156</v>
      </c>
      <c r="F37">
        <f t="shared" ref="F37:P37" si="3">(10^(F36*$C$43+$D$43))/1000</f>
        <v>1208.2794800007341</v>
      </c>
      <c r="G37">
        <f t="shared" si="3"/>
        <v>1222.0708921630851</v>
      </c>
      <c r="H37">
        <f t="shared" si="3"/>
        <v>1173.1458266855295</v>
      </c>
      <c r="I37">
        <f t="shared" si="3"/>
        <v>1208.2794800007341</v>
      </c>
      <c r="J37">
        <f t="shared" si="3"/>
        <v>1170.4859365689156</v>
      </c>
      <c r="K37">
        <f t="shared" si="3"/>
        <v>1165.184235081337</v>
      </c>
      <c r="L37">
        <f t="shared" si="3"/>
        <v>172.71768167798214</v>
      </c>
      <c r="M37">
        <f t="shared" si="3"/>
        <v>1162.5423963939134</v>
      </c>
      <c r="N37" s="42">
        <f t="shared" si="3"/>
        <v>418.59959132008976</v>
      </c>
      <c r="O37" s="42">
        <f t="shared" si="3"/>
        <v>171.54552761745234</v>
      </c>
      <c r="P37" s="42">
        <f t="shared" si="3"/>
        <v>11.515356826577563</v>
      </c>
      <c r="Q37" s="25"/>
    </row>
    <row r="41" spans="2:17" x14ac:dyDescent="0.35">
      <c r="B41" t="s">
        <v>53</v>
      </c>
      <c r="C41" s="56" t="s">
        <v>54</v>
      </c>
      <c r="D41" s="56"/>
    </row>
    <row r="43" spans="2:17" x14ac:dyDescent="0.35">
      <c r="C43">
        <v>-0.3286</v>
      </c>
      <c r="D43">
        <v>8.1000999999999994</v>
      </c>
    </row>
    <row r="46" spans="2:17" x14ac:dyDescent="0.35">
      <c r="B46" s="57" t="s">
        <v>55</v>
      </c>
      <c r="C46" s="57"/>
      <c r="D46" s="57"/>
      <c r="E46" s="42">
        <f>C23</f>
        <v>17.248000000000001</v>
      </c>
      <c r="F46" s="25" t="str">
        <f>E24</f>
        <v>Total</v>
      </c>
      <c r="G46" s="42">
        <f>G23</f>
        <v>17.332000000000001</v>
      </c>
      <c r="H46" s="25" t="str">
        <f>I24</f>
        <v>Total</v>
      </c>
      <c r="I46" s="25" t="str">
        <f>K24</f>
        <v>Total</v>
      </c>
      <c r="J46" s="25" t="str">
        <f>M24</f>
        <v>Total</v>
      </c>
      <c r="K46" s="25" t="str">
        <f>O24</f>
        <v>Total</v>
      </c>
      <c r="L46" s="25" t="e">
        <f>#REF!</f>
        <v>#REF!</v>
      </c>
      <c r="M46" s="25" t="str">
        <f>S24</f>
        <v>Total</v>
      </c>
      <c r="N46" s="25">
        <f>U23</f>
        <v>17.143999999999998</v>
      </c>
      <c r="O46" s="25">
        <f>W22</f>
        <v>17.143999999999998</v>
      </c>
      <c r="P46" s="25">
        <f>Y21</f>
        <v>17.187999999999999</v>
      </c>
    </row>
    <row r="47" spans="2:17" x14ac:dyDescent="0.35">
      <c r="B47" s="57" t="s">
        <v>49</v>
      </c>
      <c r="C47" s="57"/>
      <c r="D47" s="57"/>
      <c r="E47" s="42">
        <f>E46*$C$8</f>
        <v>12.936</v>
      </c>
      <c r="F47" s="25" t="e">
        <f t="shared" ref="F47:P47" si="4">F46*$C$8</f>
        <v>#VALUE!</v>
      </c>
      <c r="G47" s="42">
        <f t="shared" si="4"/>
        <v>12.999000000000001</v>
      </c>
      <c r="H47" s="25" t="e">
        <f t="shared" si="4"/>
        <v>#VALUE!</v>
      </c>
      <c r="I47" s="25" t="e">
        <f t="shared" si="4"/>
        <v>#VALUE!</v>
      </c>
      <c r="J47" s="25" t="e">
        <f t="shared" si="4"/>
        <v>#VALUE!</v>
      </c>
      <c r="K47" s="25" t="e">
        <f t="shared" si="4"/>
        <v>#VALUE!</v>
      </c>
      <c r="L47" s="25" t="e">
        <f t="shared" si="4"/>
        <v>#REF!</v>
      </c>
      <c r="M47" s="25" t="e">
        <f t="shared" si="4"/>
        <v>#VALUE!</v>
      </c>
      <c r="N47" s="25">
        <f>N46*$C$8</f>
        <v>12.857999999999999</v>
      </c>
      <c r="O47" s="25">
        <f t="shared" si="4"/>
        <v>12.857999999999999</v>
      </c>
      <c r="P47" s="25">
        <f t="shared" si="4"/>
        <v>12.890999999999998</v>
      </c>
    </row>
    <row r="48" spans="2:17" x14ac:dyDescent="0.35">
      <c r="B48" s="57" t="s">
        <v>50</v>
      </c>
      <c r="C48" s="57"/>
      <c r="D48" s="57"/>
      <c r="E48" s="42">
        <f>(10^(E47*$C$43+$D$43))/1000</f>
        <v>7.0685510682713266</v>
      </c>
      <c r="F48" s="25" t="e">
        <f t="shared" ref="F48:P48" si="5">(10^(F47*$C$43+$D$43))/1000</f>
        <v>#VALUE!</v>
      </c>
      <c r="G48" s="42">
        <f t="shared" si="5"/>
        <v>6.7395143133136601</v>
      </c>
      <c r="H48" s="25" t="e">
        <f t="shared" si="5"/>
        <v>#VALUE!</v>
      </c>
      <c r="I48" s="25" t="e">
        <f t="shared" si="5"/>
        <v>#VALUE!</v>
      </c>
      <c r="J48" s="25" t="e">
        <f t="shared" si="5"/>
        <v>#VALUE!</v>
      </c>
      <c r="K48" s="25" t="e">
        <f t="shared" si="5"/>
        <v>#VALUE!</v>
      </c>
      <c r="L48" s="25" t="e">
        <f t="shared" si="5"/>
        <v>#REF!</v>
      </c>
      <c r="M48" s="25" t="e">
        <f t="shared" si="5"/>
        <v>#VALUE!</v>
      </c>
      <c r="N48" s="25">
        <f>(10^(N47*$C$43+$D$43))/1000</f>
        <v>7.4982721655024225</v>
      </c>
      <c r="O48" s="25">
        <f t="shared" si="5"/>
        <v>7.4982721655024225</v>
      </c>
      <c r="P48" s="25">
        <f t="shared" si="5"/>
        <v>7.3133675426840439</v>
      </c>
    </row>
    <row r="49" spans="2:16" x14ac:dyDescent="0.35"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</row>
    <row r="50" spans="2:16" x14ac:dyDescent="0.35"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</row>
    <row r="51" spans="2:16" x14ac:dyDescent="0.35">
      <c r="B51" s="57" t="s">
        <v>56</v>
      </c>
      <c r="C51" s="57"/>
      <c r="D51" s="57"/>
      <c r="E51" s="42" t="str">
        <f>C24</f>
        <v>Total</v>
      </c>
      <c r="F51" s="42" t="e">
        <f>#REF!</f>
        <v>#REF!</v>
      </c>
      <c r="G51" s="42" t="str">
        <f>G24</f>
        <v>Total</v>
      </c>
      <c r="H51" s="42" t="e">
        <f>#REF!</f>
        <v>#REF!</v>
      </c>
      <c r="I51" s="42" t="e">
        <f>#REF!</f>
        <v>#REF!</v>
      </c>
      <c r="J51" s="42" t="e">
        <f>#REF!</f>
        <v>#REF!</v>
      </c>
      <c r="K51" s="42">
        <f>O25</f>
        <v>0</v>
      </c>
      <c r="L51" s="42" t="e">
        <f>#REF!</f>
        <v>#REF!</v>
      </c>
      <c r="M51" s="42" t="e">
        <f>#REF!</f>
        <v>#REF!</v>
      </c>
      <c r="N51" s="25">
        <f>U24</f>
        <v>22.98</v>
      </c>
      <c r="O51" s="42" t="str">
        <f>W24</f>
        <v>Total</v>
      </c>
      <c r="P51" s="25">
        <f>Y22</f>
        <v>22.94</v>
      </c>
    </row>
    <row r="52" spans="2:16" x14ac:dyDescent="0.35">
      <c r="B52" s="57" t="s">
        <v>49</v>
      </c>
      <c r="C52" s="57"/>
      <c r="D52" s="57"/>
      <c r="E52" s="42" t="e">
        <f>E51*$C$8</f>
        <v>#VALUE!</v>
      </c>
      <c r="F52" s="42" t="e">
        <f t="shared" ref="F52:P52" si="6">F51*$C$8</f>
        <v>#REF!</v>
      </c>
      <c r="G52" s="42" t="e">
        <f t="shared" si="6"/>
        <v>#VALUE!</v>
      </c>
      <c r="H52" s="42" t="e">
        <f t="shared" si="6"/>
        <v>#REF!</v>
      </c>
      <c r="I52" s="42" t="e">
        <f t="shared" si="6"/>
        <v>#REF!</v>
      </c>
      <c r="J52" s="42" t="e">
        <f t="shared" si="6"/>
        <v>#REF!</v>
      </c>
      <c r="K52" s="42">
        <f t="shared" si="6"/>
        <v>0</v>
      </c>
      <c r="L52" s="42" t="e">
        <f t="shared" si="6"/>
        <v>#REF!</v>
      </c>
      <c r="M52" s="42" t="e">
        <f t="shared" si="6"/>
        <v>#REF!</v>
      </c>
      <c r="N52" s="25">
        <f t="shared" si="6"/>
        <v>17.234999999999999</v>
      </c>
      <c r="O52" s="42" t="e">
        <f t="shared" si="6"/>
        <v>#VALUE!</v>
      </c>
      <c r="P52" s="25">
        <f t="shared" si="6"/>
        <v>17.205000000000002</v>
      </c>
    </row>
    <row r="53" spans="2:16" x14ac:dyDescent="0.35">
      <c r="B53" s="57" t="s">
        <v>57</v>
      </c>
      <c r="C53" s="57"/>
      <c r="D53" s="57"/>
      <c r="E53" s="42" t="e">
        <f>10^(E52*$C$43+$D$43)</f>
        <v>#VALUE!</v>
      </c>
      <c r="F53" s="42" t="e">
        <f t="shared" ref="F53:P53" si="7">10^(F52*$C$43+$D$43)</f>
        <v>#REF!</v>
      </c>
      <c r="G53" s="42" t="e">
        <f t="shared" si="7"/>
        <v>#VALUE!</v>
      </c>
      <c r="H53" s="42" t="e">
        <f t="shared" si="7"/>
        <v>#REF!</v>
      </c>
      <c r="I53" s="42" t="e">
        <f t="shared" si="7"/>
        <v>#REF!</v>
      </c>
      <c r="J53" s="42" t="e">
        <f t="shared" si="7"/>
        <v>#REF!</v>
      </c>
      <c r="K53" s="42">
        <f t="shared" si="7"/>
        <v>125921532.34588379</v>
      </c>
      <c r="L53" s="42" t="e">
        <f t="shared" si="7"/>
        <v>#REF!</v>
      </c>
      <c r="M53" s="42" t="e">
        <f t="shared" si="7"/>
        <v>#REF!</v>
      </c>
      <c r="N53" s="25">
        <f>10^(N52*$C$43+$D$43)</f>
        <v>273.32477546116928</v>
      </c>
      <c r="O53" s="42" t="e">
        <f t="shared" si="7"/>
        <v>#VALUE!</v>
      </c>
      <c r="P53" s="25">
        <f t="shared" si="7"/>
        <v>279.59989243754137</v>
      </c>
    </row>
  </sheetData>
  <mergeCells count="17">
    <mergeCell ref="B47:D47"/>
    <mergeCell ref="B48:D48"/>
    <mergeCell ref="B51:D51"/>
    <mergeCell ref="B52:D52"/>
    <mergeCell ref="B53:D53"/>
    <mergeCell ref="B46:D46"/>
    <mergeCell ref="A1:A3"/>
    <mergeCell ref="A4:A7"/>
    <mergeCell ref="A9:A12"/>
    <mergeCell ref="A13:A18"/>
    <mergeCell ref="B31:D31"/>
    <mergeCell ref="B32:D32"/>
    <mergeCell ref="B33:D33"/>
    <mergeCell ref="B35:D35"/>
    <mergeCell ref="B36:D36"/>
    <mergeCell ref="B37:D37"/>
    <mergeCell ref="C41:D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2"/>
  <sheetViews>
    <sheetView tabSelected="1" topLeftCell="N4" zoomScale="70" zoomScaleNormal="70" workbookViewId="0">
      <selection activeCell="V23" sqref="V23"/>
    </sheetView>
  </sheetViews>
  <sheetFormatPr defaultRowHeight="14.5" x14ac:dyDescent="0.35"/>
  <cols>
    <col min="2" max="2" width="16.26953125" bestFit="1" customWidth="1"/>
    <col min="3" max="3" width="10.26953125" bestFit="1" customWidth="1"/>
    <col min="5" max="5" width="10.26953125" bestFit="1" customWidth="1"/>
    <col min="7" max="7" width="10.26953125" bestFit="1" customWidth="1"/>
    <col min="9" max="9" width="9.54296875" bestFit="1" customWidth="1"/>
    <col min="11" max="11" width="9.54296875" bestFit="1" customWidth="1"/>
    <col min="13" max="13" width="12.81640625" bestFit="1" customWidth="1"/>
    <col min="15" max="15" width="12.81640625" bestFit="1" customWidth="1"/>
    <col min="17" max="17" width="12.81640625" bestFit="1" customWidth="1"/>
    <col min="19" max="19" width="12.81640625" bestFit="1" customWidth="1"/>
  </cols>
  <sheetData>
    <row r="1" spans="1:22" x14ac:dyDescent="0.35">
      <c r="A1" s="51" t="s">
        <v>0</v>
      </c>
      <c r="B1" s="1" t="s">
        <v>1</v>
      </c>
      <c r="C1" s="2">
        <v>44571</v>
      </c>
      <c r="D1" s="3"/>
      <c r="E1" s="2">
        <v>44571</v>
      </c>
      <c r="F1" s="3"/>
      <c r="G1" s="2">
        <v>44571</v>
      </c>
      <c r="H1" s="4"/>
      <c r="I1" s="2">
        <v>44571</v>
      </c>
      <c r="J1" s="3"/>
      <c r="K1" s="2">
        <v>44571</v>
      </c>
      <c r="L1" s="3"/>
      <c r="M1" s="2">
        <v>44571</v>
      </c>
      <c r="N1" s="3"/>
      <c r="O1" s="2">
        <v>44571</v>
      </c>
      <c r="P1" s="3"/>
      <c r="Q1" s="2">
        <v>44571</v>
      </c>
      <c r="R1" s="3"/>
      <c r="S1" s="2">
        <v>44571</v>
      </c>
      <c r="T1" s="3"/>
      <c r="U1" s="2">
        <v>44571</v>
      </c>
      <c r="V1" s="3"/>
    </row>
    <row r="2" spans="1:22" x14ac:dyDescent="0.35">
      <c r="A2" s="52"/>
      <c r="B2" s="5" t="s">
        <v>2</v>
      </c>
      <c r="C2" s="27" t="s">
        <v>3</v>
      </c>
      <c r="D2" s="7"/>
      <c r="E2" s="27" t="s">
        <v>3</v>
      </c>
      <c r="F2" s="7"/>
      <c r="G2" s="27" t="s">
        <v>3</v>
      </c>
      <c r="H2" s="7"/>
      <c r="I2" s="27" t="s">
        <v>3</v>
      </c>
      <c r="J2" s="7"/>
      <c r="K2" s="27" t="s">
        <v>3</v>
      </c>
      <c r="L2" s="7"/>
      <c r="M2" s="27" t="s">
        <v>3</v>
      </c>
      <c r="N2" s="7"/>
      <c r="O2" s="27" t="s">
        <v>3</v>
      </c>
      <c r="P2" s="7"/>
      <c r="Q2" s="27" t="s">
        <v>3</v>
      </c>
      <c r="R2" s="7"/>
      <c r="S2" s="27" t="s">
        <v>3</v>
      </c>
      <c r="T2" s="7"/>
      <c r="U2" s="27" t="s">
        <v>3</v>
      </c>
      <c r="V2" s="7"/>
    </row>
    <row r="3" spans="1:22" x14ac:dyDescent="0.35">
      <c r="A3" s="52"/>
      <c r="B3" s="5" t="s">
        <v>4</v>
      </c>
      <c r="C3" s="28">
        <v>0.45694444444444443</v>
      </c>
      <c r="D3" s="43"/>
      <c r="E3" s="28">
        <v>0.47500000000000003</v>
      </c>
      <c r="F3" s="7"/>
      <c r="G3" s="28">
        <v>0.4993055555555555</v>
      </c>
      <c r="H3" s="7"/>
      <c r="I3" s="28">
        <v>0.51736111111111105</v>
      </c>
      <c r="J3" s="7"/>
      <c r="K3" s="28">
        <v>0.54027777777777775</v>
      </c>
      <c r="L3" s="7"/>
      <c r="M3" s="28">
        <v>0.55833333333333335</v>
      </c>
      <c r="N3" s="7"/>
      <c r="O3" s="28">
        <v>0.57638888888888895</v>
      </c>
      <c r="P3" s="7"/>
      <c r="Q3" s="28">
        <v>0.59444444444444444</v>
      </c>
      <c r="R3" s="7"/>
      <c r="S3" s="28">
        <v>0.61527777777777781</v>
      </c>
      <c r="T3" s="7"/>
      <c r="U3" s="28">
        <v>0.6333333333333333</v>
      </c>
      <c r="V3" s="7"/>
    </row>
    <row r="4" spans="1:22" x14ac:dyDescent="0.35">
      <c r="A4" s="53" t="s">
        <v>5</v>
      </c>
      <c r="B4" s="10" t="s">
        <v>6</v>
      </c>
      <c r="C4" s="35" t="s">
        <v>65</v>
      </c>
      <c r="D4" s="16"/>
      <c r="E4" s="35" t="s">
        <v>65</v>
      </c>
      <c r="F4" s="16"/>
      <c r="G4" s="35" t="s">
        <v>60</v>
      </c>
      <c r="H4" s="16"/>
      <c r="I4" s="35" t="s">
        <v>60</v>
      </c>
      <c r="J4" s="16"/>
      <c r="K4" s="35" t="s">
        <v>60</v>
      </c>
      <c r="L4" s="16"/>
      <c r="M4" s="35" t="s">
        <v>32</v>
      </c>
      <c r="N4" s="16"/>
      <c r="O4" s="35" t="s">
        <v>32</v>
      </c>
      <c r="P4" s="16"/>
      <c r="Q4" s="35" t="s">
        <v>32</v>
      </c>
      <c r="R4" s="16"/>
      <c r="S4" s="35" t="s">
        <v>68</v>
      </c>
      <c r="T4" s="16"/>
      <c r="U4" s="35" t="s">
        <v>68</v>
      </c>
      <c r="V4" s="16"/>
    </row>
    <row r="5" spans="1:22" x14ac:dyDescent="0.35">
      <c r="A5" s="53"/>
      <c r="B5" s="10" t="s">
        <v>7</v>
      </c>
      <c r="C5" s="26" t="s">
        <v>22</v>
      </c>
      <c r="D5" s="16"/>
      <c r="E5" s="26" t="s">
        <v>22</v>
      </c>
      <c r="F5" s="16"/>
      <c r="G5" s="26" t="s">
        <v>22</v>
      </c>
      <c r="H5" s="16"/>
      <c r="I5" s="26" t="s">
        <v>22</v>
      </c>
      <c r="J5" s="16"/>
      <c r="K5" s="26" t="s">
        <v>22</v>
      </c>
      <c r="L5" s="16"/>
      <c r="M5" s="26" t="s">
        <v>22</v>
      </c>
      <c r="N5" s="16"/>
      <c r="O5" s="26" t="s">
        <v>22</v>
      </c>
      <c r="P5" s="16"/>
      <c r="Q5" s="26" t="s">
        <v>22</v>
      </c>
      <c r="R5" s="16"/>
      <c r="S5" s="26" t="s">
        <v>22</v>
      </c>
      <c r="T5" s="16"/>
      <c r="U5" s="26" t="s">
        <v>22</v>
      </c>
      <c r="V5" s="16"/>
    </row>
    <row r="6" spans="1:22" x14ac:dyDescent="0.35">
      <c r="A6" s="53"/>
      <c r="B6" s="10" t="s">
        <v>8</v>
      </c>
      <c r="C6" s="26" t="s">
        <v>20</v>
      </c>
      <c r="D6" s="16"/>
      <c r="E6" s="26" t="s">
        <v>20</v>
      </c>
      <c r="F6" s="16"/>
      <c r="G6" s="26" t="s">
        <v>20</v>
      </c>
      <c r="H6" s="16"/>
      <c r="I6" s="26" t="s">
        <v>20</v>
      </c>
      <c r="J6" s="16"/>
      <c r="K6" s="26" t="s">
        <v>20</v>
      </c>
      <c r="L6" s="16"/>
      <c r="M6" s="26" t="s">
        <v>20</v>
      </c>
      <c r="N6" s="16"/>
      <c r="O6" s="26" t="s">
        <v>20</v>
      </c>
      <c r="P6" s="16"/>
      <c r="Q6" s="26" t="s">
        <v>20</v>
      </c>
      <c r="R6" s="16"/>
      <c r="S6" s="26" t="s">
        <v>20</v>
      </c>
      <c r="T6" s="16"/>
      <c r="U6" s="26" t="s">
        <v>20</v>
      </c>
      <c r="V6" s="16"/>
    </row>
    <row r="7" spans="1:22" x14ac:dyDescent="0.35">
      <c r="A7" s="53"/>
      <c r="B7" s="10" t="s">
        <v>9</v>
      </c>
      <c r="C7" s="26" t="s">
        <v>21</v>
      </c>
      <c r="D7" s="16"/>
      <c r="E7" s="26" t="s">
        <v>21</v>
      </c>
      <c r="F7" s="16"/>
      <c r="G7" s="26" t="s">
        <v>21</v>
      </c>
      <c r="H7" s="16"/>
      <c r="I7" s="26" t="s">
        <v>21</v>
      </c>
      <c r="J7" s="16"/>
      <c r="K7" s="26" t="s">
        <v>21</v>
      </c>
      <c r="L7" s="16"/>
      <c r="M7" s="26" t="s">
        <v>21</v>
      </c>
      <c r="N7" s="16"/>
      <c r="O7" s="26" t="s">
        <v>21</v>
      </c>
      <c r="P7" s="16"/>
      <c r="Q7" s="26" t="s">
        <v>21</v>
      </c>
      <c r="R7" s="16"/>
      <c r="S7" s="26" t="s">
        <v>21</v>
      </c>
      <c r="T7" s="16"/>
      <c r="U7" s="26" t="s">
        <v>21</v>
      </c>
      <c r="V7" s="16"/>
    </row>
    <row r="8" spans="1:22" x14ac:dyDescent="0.35">
      <c r="A8" s="49" t="s">
        <v>10</v>
      </c>
      <c r="B8" s="5" t="s">
        <v>11</v>
      </c>
      <c r="C8" s="15">
        <v>0.75</v>
      </c>
      <c r="D8" s="16"/>
      <c r="E8" s="15">
        <v>0.75</v>
      </c>
      <c r="F8" s="16"/>
      <c r="G8" s="15">
        <v>0.75</v>
      </c>
      <c r="H8" s="16"/>
      <c r="I8" s="15">
        <v>0.75</v>
      </c>
      <c r="J8" s="16"/>
      <c r="K8" s="15">
        <v>0.75</v>
      </c>
      <c r="L8" s="16"/>
      <c r="M8" s="15">
        <v>0.75</v>
      </c>
      <c r="N8" s="16"/>
      <c r="O8" s="15">
        <v>0.75</v>
      </c>
      <c r="P8" s="16"/>
      <c r="Q8" s="15">
        <v>0.75</v>
      </c>
      <c r="R8" s="16"/>
      <c r="S8" s="15">
        <v>0.75</v>
      </c>
      <c r="T8" s="16"/>
      <c r="U8" s="15">
        <v>0.75</v>
      </c>
      <c r="V8" s="16"/>
    </row>
    <row r="9" spans="1:22" x14ac:dyDescent="0.35">
      <c r="A9" s="53" t="s">
        <v>12</v>
      </c>
      <c r="B9" s="10" t="s">
        <v>13</v>
      </c>
      <c r="C9" s="26" t="s">
        <v>14</v>
      </c>
      <c r="D9" s="16"/>
      <c r="E9" s="26" t="s">
        <v>14</v>
      </c>
      <c r="F9" s="16"/>
      <c r="G9" s="26" t="s">
        <v>14</v>
      </c>
      <c r="H9" s="16"/>
      <c r="I9" s="26" t="s">
        <v>14</v>
      </c>
      <c r="J9" s="16"/>
      <c r="K9" s="26" t="s">
        <v>14</v>
      </c>
      <c r="L9" s="16"/>
      <c r="M9" s="26" t="s">
        <v>14</v>
      </c>
      <c r="N9" s="16"/>
      <c r="O9" s="26" t="s">
        <v>14</v>
      </c>
      <c r="P9" s="16"/>
      <c r="Q9" s="26" t="s">
        <v>14</v>
      </c>
      <c r="R9" s="16"/>
      <c r="S9" s="26" t="s">
        <v>14</v>
      </c>
      <c r="T9" s="16"/>
      <c r="U9" s="26" t="s">
        <v>14</v>
      </c>
      <c r="V9" s="16"/>
    </row>
    <row r="10" spans="1:22" x14ac:dyDescent="0.35">
      <c r="A10" s="53"/>
      <c r="B10" s="10" t="s">
        <v>15</v>
      </c>
      <c r="C10" s="15">
        <v>214</v>
      </c>
      <c r="D10" s="16"/>
      <c r="E10" s="15">
        <v>214</v>
      </c>
      <c r="F10" s="16"/>
      <c r="G10" s="15">
        <v>214</v>
      </c>
      <c r="H10" s="16"/>
      <c r="I10" s="15">
        <v>214</v>
      </c>
      <c r="J10" s="16"/>
      <c r="K10" s="15">
        <v>214</v>
      </c>
      <c r="L10" s="16"/>
      <c r="M10" s="15">
        <v>214</v>
      </c>
      <c r="N10" s="16"/>
      <c r="O10" s="15">
        <v>214</v>
      </c>
      <c r="P10" s="16"/>
      <c r="Q10" s="15">
        <v>214</v>
      </c>
      <c r="R10" s="16"/>
      <c r="S10" s="15">
        <v>214</v>
      </c>
      <c r="T10" s="16"/>
      <c r="U10" s="15">
        <v>214</v>
      </c>
      <c r="V10" s="16"/>
    </row>
    <row r="11" spans="1:22" x14ac:dyDescent="0.35">
      <c r="A11" s="53"/>
      <c r="B11" s="10" t="s">
        <v>16</v>
      </c>
      <c r="C11" s="15"/>
      <c r="D11" s="16"/>
      <c r="E11" s="26"/>
      <c r="F11" s="16"/>
      <c r="G11" s="26"/>
      <c r="H11" s="17"/>
      <c r="I11" s="26"/>
      <c r="J11" s="16"/>
      <c r="K11" s="26"/>
      <c r="L11" s="16"/>
      <c r="M11" s="26"/>
      <c r="N11" s="16"/>
      <c r="O11" s="26"/>
      <c r="P11" s="16"/>
      <c r="Q11" s="26"/>
      <c r="R11" s="16"/>
      <c r="S11" s="26"/>
      <c r="T11" s="16"/>
      <c r="U11" s="26"/>
      <c r="V11" s="16"/>
    </row>
    <row r="12" spans="1:22" x14ac:dyDescent="0.35">
      <c r="A12" s="53"/>
      <c r="B12" s="10" t="s">
        <v>17</v>
      </c>
      <c r="C12" s="15"/>
      <c r="D12" s="16"/>
      <c r="E12" s="26"/>
      <c r="F12" s="16"/>
      <c r="G12" s="26"/>
      <c r="H12" s="17"/>
      <c r="I12" s="26"/>
      <c r="J12" s="16"/>
      <c r="K12" s="26"/>
      <c r="L12" s="16"/>
      <c r="M12" s="26"/>
      <c r="N12" s="16"/>
      <c r="O12" s="26"/>
      <c r="P12" s="16"/>
      <c r="Q12" s="26"/>
      <c r="R12" s="16"/>
      <c r="S12" s="26"/>
      <c r="T12" s="16"/>
      <c r="U12" s="26"/>
      <c r="V12" s="16"/>
    </row>
    <row r="13" spans="1:22" x14ac:dyDescent="0.35">
      <c r="A13" s="54" t="s">
        <v>18</v>
      </c>
      <c r="B13" s="14" t="s">
        <v>19</v>
      </c>
      <c r="C13" s="15"/>
      <c r="D13" s="16"/>
      <c r="E13" s="26"/>
      <c r="F13" s="16"/>
      <c r="G13" s="26"/>
      <c r="H13" s="17"/>
      <c r="I13" s="26"/>
      <c r="J13" s="16"/>
      <c r="K13" s="26"/>
      <c r="L13" s="16"/>
      <c r="M13" s="26"/>
      <c r="N13" s="16"/>
      <c r="O13" s="26"/>
      <c r="P13" s="16"/>
      <c r="Q13" s="29"/>
      <c r="R13" s="34"/>
      <c r="S13" s="29"/>
      <c r="T13" s="34"/>
      <c r="U13" s="29"/>
      <c r="V13" s="34"/>
    </row>
    <row r="14" spans="1:22" x14ac:dyDescent="0.35">
      <c r="A14" s="54"/>
      <c r="B14" s="14" t="s">
        <v>19</v>
      </c>
      <c r="C14" s="18"/>
      <c r="D14" s="19"/>
      <c r="E14" s="31"/>
      <c r="F14" s="19"/>
      <c r="G14" s="31"/>
      <c r="H14" s="20"/>
      <c r="I14" s="26"/>
      <c r="J14" s="16"/>
      <c r="K14" s="26"/>
      <c r="L14" s="16"/>
      <c r="M14" s="26"/>
      <c r="N14" s="16"/>
      <c r="O14" s="30"/>
      <c r="P14" s="19"/>
      <c r="Q14" s="26"/>
      <c r="R14" s="16"/>
      <c r="S14" s="26"/>
      <c r="T14" s="16"/>
      <c r="U14" s="26"/>
      <c r="V14" s="16"/>
    </row>
    <row r="15" spans="1:22" x14ac:dyDescent="0.35">
      <c r="A15" s="54"/>
      <c r="B15" s="14" t="s">
        <v>19</v>
      </c>
      <c r="C15" s="15"/>
      <c r="D15" s="16"/>
      <c r="E15" s="26"/>
      <c r="F15" s="16"/>
      <c r="G15" s="26"/>
      <c r="H15" s="17"/>
      <c r="I15" s="26"/>
      <c r="J15" s="16"/>
      <c r="K15" s="26"/>
      <c r="L15" s="16"/>
      <c r="M15" s="26"/>
      <c r="N15" s="16"/>
      <c r="O15" s="26"/>
      <c r="P15" s="16"/>
      <c r="Q15" s="26"/>
      <c r="R15" s="16"/>
      <c r="S15" s="26"/>
      <c r="T15" s="16"/>
      <c r="U15" s="26"/>
      <c r="V15" s="16"/>
    </row>
    <row r="16" spans="1:22" x14ac:dyDescent="0.35">
      <c r="A16" s="54"/>
      <c r="B16" s="14" t="s">
        <v>19</v>
      </c>
      <c r="C16" s="15"/>
      <c r="D16" s="19"/>
      <c r="E16" s="31"/>
      <c r="F16" s="19"/>
      <c r="G16" s="31"/>
      <c r="H16" s="20"/>
      <c r="I16" s="26"/>
      <c r="J16" s="19"/>
      <c r="K16" s="31"/>
      <c r="L16" s="19"/>
      <c r="M16" s="26"/>
      <c r="N16" s="16"/>
      <c r="O16" s="26"/>
      <c r="P16" s="19"/>
      <c r="Q16" s="26"/>
      <c r="R16" s="19"/>
      <c r="S16" s="26"/>
      <c r="T16" s="19"/>
      <c r="U16" s="26"/>
      <c r="V16" s="19"/>
    </row>
    <row r="17" spans="1:22" x14ac:dyDescent="0.35">
      <c r="A17" s="54"/>
      <c r="B17" s="14" t="s">
        <v>19</v>
      </c>
      <c r="C17" s="15"/>
      <c r="D17" s="16"/>
      <c r="E17" s="26"/>
      <c r="F17" s="16"/>
      <c r="G17" s="26"/>
      <c r="H17" s="17"/>
      <c r="I17" s="26"/>
      <c r="J17" s="16"/>
      <c r="K17" s="26"/>
      <c r="L17" s="16"/>
      <c r="M17" s="26"/>
      <c r="N17" s="16"/>
      <c r="O17" s="26"/>
      <c r="P17" s="16"/>
      <c r="Q17" s="26"/>
      <c r="R17" s="16"/>
      <c r="S17" s="26"/>
      <c r="T17" s="16"/>
      <c r="U17" s="26"/>
      <c r="V17" s="16"/>
    </row>
    <row r="18" spans="1:22" ht="15" thickBot="1" x14ac:dyDescent="0.4">
      <c r="A18" s="55"/>
      <c r="B18" s="21" t="s">
        <v>19</v>
      </c>
      <c r="C18" s="22"/>
      <c r="D18" s="23"/>
      <c r="E18" s="33"/>
      <c r="F18" s="23"/>
      <c r="G18" s="33"/>
      <c r="H18" s="24"/>
      <c r="I18" s="33"/>
      <c r="J18" s="23"/>
      <c r="K18" s="33"/>
      <c r="L18" s="23"/>
      <c r="M18" s="33"/>
      <c r="N18" s="23"/>
      <c r="O18" s="33"/>
      <c r="P18" s="23"/>
      <c r="Q18" s="33"/>
      <c r="R18" s="23"/>
      <c r="S18" s="33"/>
      <c r="T18" s="23"/>
      <c r="U18" s="33"/>
      <c r="V18" s="23"/>
    </row>
    <row r="19" spans="1:22" x14ac:dyDescent="0.35">
      <c r="C19">
        <v>2.512</v>
      </c>
      <c r="D19">
        <v>193.87899999999999</v>
      </c>
      <c r="G19">
        <v>8.2520000000000007</v>
      </c>
      <c r="H19">
        <v>3401.7159999999999</v>
      </c>
      <c r="I19">
        <v>8.1880000000000006</v>
      </c>
      <c r="J19">
        <v>3541.4479999999999</v>
      </c>
      <c r="K19">
        <v>0.95599999999999996</v>
      </c>
      <c r="L19">
        <v>16.326000000000001</v>
      </c>
      <c r="M19">
        <v>8.2560000000000002</v>
      </c>
      <c r="N19">
        <v>2913.3530000000001</v>
      </c>
      <c r="O19">
        <v>6.5839999999999996</v>
      </c>
      <c r="P19">
        <v>68.239999999999995</v>
      </c>
      <c r="Q19">
        <v>7.1639999999999997</v>
      </c>
      <c r="R19">
        <v>65.688000000000002</v>
      </c>
      <c r="S19">
        <v>10.087999999999999</v>
      </c>
      <c r="T19">
        <v>28.722999999999999</v>
      </c>
      <c r="U19">
        <v>10.124000000000001</v>
      </c>
      <c r="V19">
        <v>18.77</v>
      </c>
    </row>
    <row r="20" spans="1:22" x14ac:dyDescent="0.35">
      <c r="C20">
        <v>16.288</v>
      </c>
      <c r="D20">
        <v>116.754</v>
      </c>
      <c r="E20">
        <v>16.292000000000002</v>
      </c>
      <c r="F20">
        <v>229.06899999999999</v>
      </c>
      <c r="G20">
        <v>11.704000000000001</v>
      </c>
      <c r="H20">
        <v>2728.788</v>
      </c>
      <c r="I20">
        <v>11.644</v>
      </c>
      <c r="J20">
        <v>3240.1329999999998</v>
      </c>
      <c r="K20">
        <v>5.4359999999999999</v>
      </c>
      <c r="L20">
        <v>321.78699999999998</v>
      </c>
      <c r="M20">
        <v>11.724</v>
      </c>
      <c r="N20">
        <v>2890.4969999999998</v>
      </c>
      <c r="O20">
        <v>8.2479999999999993</v>
      </c>
      <c r="P20">
        <v>2541.5619999999999</v>
      </c>
      <c r="Q20">
        <v>8.24</v>
      </c>
      <c r="R20">
        <v>2445.3429999999998</v>
      </c>
      <c r="S20">
        <v>11.651999999999999</v>
      </c>
      <c r="T20">
        <v>6219.19</v>
      </c>
      <c r="U20">
        <v>11.648</v>
      </c>
      <c r="V20">
        <v>5773.5110000000004</v>
      </c>
    </row>
    <row r="21" spans="1:22" x14ac:dyDescent="0.35">
      <c r="C21">
        <v>17.292000000000002</v>
      </c>
      <c r="D21">
        <v>5135.9979999999996</v>
      </c>
      <c r="E21">
        <v>17.172000000000001</v>
      </c>
      <c r="F21">
        <v>4311.1000000000004</v>
      </c>
      <c r="G21">
        <v>16.34</v>
      </c>
      <c r="H21">
        <v>59.350999999999999</v>
      </c>
      <c r="I21">
        <v>16.327999999999999</v>
      </c>
      <c r="J21">
        <v>63.987000000000002</v>
      </c>
      <c r="K21">
        <v>8.2439999999999998</v>
      </c>
      <c r="L21">
        <v>2708.0940000000001</v>
      </c>
      <c r="M21">
        <v>16.364000000000001</v>
      </c>
      <c r="N21">
        <v>53.109000000000002</v>
      </c>
      <c r="O21">
        <v>11.712</v>
      </c>
      <c r="P21">
        <v>2990.9369999999999</v>
      </c>
      <c r="Q21">
        <v>11.708</v>
      </c>
      <c r="R21">
        <v>3040.826</v>
      </c>
      <c r="S21">
        <v>16.332000000000001</v>
      </c>
      <c r="T21">
        <v>55.271000000000001</v>
      </c>
      <c r="U21">
        <v>16.324000000000002</v>
      </c>
      <c r="V21">
        <v>82.081000000000003</v>
      </c>
    </row>
    <row r="22" spans="1:22" x14ac:dyDescent="0.35">
      <c r="C22">
        <v>24.123999999999999</v>
      </c>
      <c r="D22">
        <v>559.79200000000003</v>
      </c>
      <c r="E22">
        <v>24.736000000000001</v>
      </c>
      <c r="F22">
        <v>332.52699999999999</v>
      </c>
      <c r="G22" t="s">
        <v>26</v>
      </c>
      <c r="H22">
        <v>6189.8559999999998</v>
      </c>
      <c r="I22" t="s">
        <v>26</v>
      </c>
      <c r="J22">
        <v>6845.5680000000002</v>
      </c>
      <c r="K22">
        <v>11.708</v>
      </c>
      <c r="L22">
        <v>3091.6990000000001</v>
      </c>
      <c r="M22" t="s">
        <v>26</v>
      </c>
      <c r="N22">
        <v>5856.9579999999996</v>
      </c>
      <c r="O22">
        <v>16.352</v>
      </c>
      <c r="P22">
        <v>52.191000000000003</v>
      </c>
      <c r="Q22">
        <v>16.356000000000002</v>
      </c>
      <c r="R22">
        <v>56.423999999999999</v>
      </c>
      <c r="S22">
        <v>17.18</v>
      </c>
      <c r="T22">
        <v>53.232999999999997</v>
      </c>
      <c r="U22">
        <v>17.184000000000001</v>
      </c>
      <c r="V22">
        <v>50.847000000000001</v>
      </c>
    </row>
    <row r="23" spans="1:22" x14ac:dyDescent="0.35">
      <c r="C23" t="s">
        <v>26</v>
      </c>
      <c r="D23">
        <v>6006.4229999999998</v>
      </c>
      <c r="E23" t="s">
        <v>26</v>
      </c>
      <c r="F23">
        <v>4872.6949999999997</v>
      </c>
      <c r="K23">
        <v>16.352</v>
      </c>
      <c r="L23">
        <v>53.805999999999997</v>
      </c>
      <c r="O23" t="s">
        <v>26</v>
      </c>
      <c r="P23">
        <v>5652.9290000000001</v>
      </c>
      <c r="Q23" t="s">
        <v>26</v>
      </c>
      <c r="R23">
        <v>5608.2809999999999</v>
      </c>
      <c r="S23" t="s">
        <v>26</v>
      </c>
      <c r="T23">
        <v>6356.4160000000002</v>
      </c>
      <c r="U23" t="s">
        <v>26</v>
      </c>
      <c r="V23">
        <v>5925.21</v>
      </c>
    </row>
    <row r="24" spans="1:22" x14ac:dyDescent="0.35">
      <c r="K24">
        <v>17.3</v>
      </c>
      <c r="L24">
        <v>116.319</v>
      </c>
    </row>
    <row r="25" spans="1:22" x14ac:dyDescent="0.35">
      <c r="K25" t="s">
        <v>26</v>
      </c>
      <c r="L25">
        <v>6308.03</v>
      </c>
    </row>
    <row r="30" spans="1:22" x14ac:dyDescent="0.35">
      <c r="B30" s="56" t="s">
        <v>51</v>
      </c>
      <c r="C30" s="56"/>
      <c r="D30" s="56"/>
      <c r="E30" s="56"/>
      <c r="F30" t="s">
        <v>67</v>
      </c>
      <c r="G30" t="s">
        <v>67</v>
      </c>
      <c r="H30">
        <f>G20</f>
        <v>11.704000000000001</v>
      </c>
      <c r="I30">
        <f>I20</f>
        <v>11.644</v>
      </c>
      <c r="J30">
        <f>K22</f>
        <v>11.708</v>
      </c>
      <c r="K30">
        <f>M20</f>
        <v>11.724</v>
      </c>
      <c r="L30">
        <f>M20</f>
        <v>11.724</v>
      </c>
      <c r="M30">
        <f>Q21</f>
        <v>11.708</v>
      </c>
      <c r="N30">
        <f>S20</f>
        <v>11.651999999999999</v>
      </c>
      <c r="O30">
        <f>U20</f>
        <v>11.648</v>
      </c>
    </row>
    <row r="31" spans="1:22" x14ac:dyDescent="0.35">
      <c r="B31" s="56" t="s">
        <v>49</v>
      </c>
      <c r="C31" s="56"/>
      <c r="D31" s="56"/>
      <c r="E31" s="56"/>
      <c r="F31" t="e">
        <f>F30*$C$8</f>
        <v>#VALUE!</v>
      </c>
      <c r="G31" t="e">
        <f t="shared" ref="G31:O31" si="0">G30*$C$8</f>
        <v>#VALUE!</v>
      </c>
      <c r="H31">
        <f t="shared" si="0"/>
        <v>8.7780000000000005</v>
      </c>
      <c r="I31">
        <f t="shared" si="0"/>
        <v>8.7330000000000005</v>
      </c>
      <c r="J31">
        <f t="shared" si="0"/>
        <v>8.7810000000000006</v>
      </c>
      <c r="K31">
        <f t="shared" si="0"/>
        <v>8.7929999999999993</v>
      </c>
      <c r="L31">
        <f t="shared" si="0"/>
        <v>8.7929999999999993</v>
      </c>
      <c r="M31">
        <f t="shared" si="0"/>
        <v>8.7810000000000006</v>
      </c>
      <c r="N31">
        <f t="shared" si="0"/>
        <v>8.738999999999999</v>
      </c>
      <c r="O31">
        <f t="shared" si="0"/>
        <v>8.7360000000000007</v>
      </c>
    </row>
    <row r="32" spans="1:22" x14ac:dyDescent="0.35">
      <c r="B32" s="56" t="s">
        <v>50</v>
      </c>
      <c r="C32" s="56"/>
      <c r="D32" s="56"/>
      <c r="E32" s="56"/>
      <c r="F32" t="e">
        <f>(10^(F31*$D$42+$E$42))/1000</f>
        <v>#VALUE!</v>
      </c>
      <c r="G32" t="e">
        <f t="shared" ref="G32:O32" si="1">(10^(G31*$D$42+$E$42))/1000</f>
        <v>#VALUE!</v>
      </c>
      <c r="H32">
        <f t="shared" si="1"/>
        <v>164.30440234291024</v>
      </c>
      <c r="I32">
        <f t="shared" si="1"/>
        <v>169.99502042341555</v>
      </c>
      <c r="J32">
        <f t="shared" si="1"/>
        <v>163.93187264884557</v>
      </c>
      <c r="K32">
        <f t="shared" si="1"/>
        <v>162.45018116201868</v>
      </c>
      <c r="L32">
        <f t="shared" si="1"/>
        <v>162.45018116201868</v>
      </c>
      <c r="M32">
        <f t="shared" si="1"/>
        <v>163.93187264884557</v>
      </c>
      <c r="N32">
        <f t="shared" si="1"/>
        <v>169.22503009332982</v>
      </c>
      <c r="O32">
        <f t="shared" si="1"/>
        <v>169.6095883105335</v>
      </c>
    </row>
    <row r="34" spans="2:15" x14ac:dyDescent="0.35">
      <c r="B34" s="56" t="s">
        <v>52</v>
      </c>
      <c r="C34" s="56"/>
      <c r="D34" s="56"/>
      <c r="E34" s="56"/>
      <c r="F34" t="s">
        <v>67</v>
      </c>
      <c r="G34" t="s">
        <v>67</v>
      </c>
      <c r="H34">
        <f>G19</f>
        <v>8.2520000000000007</v>
      </c>
      <c r="I34">
        <f>I19</f>
        <v>8.1880000000000006</v>
      </c>
      <c r="J34">
        <f>K21</f>
        <v>8.2439999999999998</v>
      </c>
      <c r="K34">
        <f>M19</f>
        <v>8.2560000000000002</v>
      </c>
      <c r="L34">
        <f>O20</f>
        <v>8.2479999999999993</v>
      </c>
      <c r="M34">
        <f>Q20</f>
        <v>8.24</v>
      </c>
      <c r="N34" t="s">
        <v>67</v>
      </c>
      <c r="O34" t="s">
        <v>67</v>
      </c>
    </row>
    <row r="35" spans="2:15" x14ac:dyDescent="0.35">
      <c r="B35" s="56" t="s">
        <v>49</v>
      </c>
      <c r="C35" s="56"/>
      <c r="D35" s="56"/>
      <c r="E35" s="56"/>
      <c r="F35" t="e">
        <f>F34*$C$8</f>
        <v>#VALUE!</v>
      </c>
      <c r="G35" t="e">
        <f t="shared" ref="G35:O35" si="2">G34*$C$8</f>
        <v>#VALUE!</v>
      </c>
      <c r="H35">
        <f t="shared" si="2"/>
        <v>6.1890000000000001</v>
      </c>
      <c r="I35">
        <f t="shared" si="2"/>
        <v>6.141</v>
      </c>
      <c r="J35">
        <f t="shared" si="2"/>
        <v>6.1829999999999998</v>
      </c>
      <c r="K35">
        <f t="shared" si="2"/>
        <v>6.1920000000000002</v>
      </c>
      <c r="L35">
        <f t="shared" si="2"/>
        <v>6.1859999999999999</v>
      </c>
      <c r="M35">
        <f t="shared" si="2"/>
        <v>6.18</v>
      </c>
      <c r="N35" t="e">
        <f t="shared" si="2"/>
        <v>#VALUE!</v>
      </c>
      <c r="O35" t="e">
        <f t="shared" si="2"/>
        <v>#VALUE!</v>
      </c>
    </row>
    <row r="36" spans="2:15" x14ac:dyDescent="0.35">
      <c r="B36" s="56" t="s">
        <v>50</v>
      </c>
      <c r="C36" s="56"/>
      <c r="D36" s="56"/>
      <c r="E36" s="56"/>
      <c r="F36" t="e">
        <f>(10^(F35*$D$42+$E$42))/1000</f>
        <v>#VALUE!</v>
      </c>
      <c r="G36" t="e">
        <f t="shared" ref="G36:O36" si="3">(10^(G35*$D$42+$E$42))/1000</f>
        <v>#VALUE!</v>
      </c>
      <c r="H36">
        <f t="shared" si="3"/>
        <v>1165.184235081337</v>
      </c>
      <c r="I36">
        <f t="shared" si="3"/>
        <v>1208.2794800007341</v>
      </c>
      <c r="J36">
        <f t="shared" si="3"/>
        <v>1170.4859365689156</v>
      </c>
      <c r="K36">
        <f t="shared" si="3"/>
        <v>1162.5423963939134</v>
      </c>
      <c r="L36">
        <f t="shared" si="3"/>
        <v>1167.8320772587615</v>
      </c>
      <c r="M36">
        <f t="shared" si="3"/>
        <v>1173.1458266855295</v>
      </c>
      <c r="N36" t="e">
        <f t="shared" si="3"/>
        <v>#VALUE!</v>
      </c>
      <c r="O36" t="e">
        <f t="shared" si="3"/>
        <v>#VALUE!</v>
      </c>
    </row>
    <row r="40" spans="2:15" x14ac:dyDescent="0.35">
      <c r="B40" s="56" t="s">
        <v>66</v>
      </c>
      <c r="C40" s="56"/>
      <c r="D40" s="56"/>
      <c r="E40" s="56"/>
    </row>
    <row r="42" spans="2:15" x14ac:dyDescent="0.35">
      <c r="D42">
        <v>-0.3286</v>
      </c>
      <c r="E42">
        <v>8.1000999999999994</v>
      </c>
    </row>
  </sheetData>
  <mergeCells count="11">
    <mergeCell ref="B40:E40"/>
    <mergeCell ref="B30:E30"/>
    <mergeCell ref="B32:E32"/>
    <mergeCell ref="B31:E31"/>
    <mergeCell ref="B34:E34"/>
    <mergeCell ref="B35:E35"/>
    <mergeCell ref="A1:A3"/>
    <mergeCell ref="A4:A7"/>
    <mergeCell ref="A9:A12"/>
    <mergeCell ref="A13:A18"/>
    <mergeCell ref="B36:E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Sheet5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HPLC</dc:creator>
  <cp:lastModifiedBy>Stephanie de Wit</cp:lastModifiedBy>
  <dcterms:created xsi:type="dcterms:W3CDTF">2021-12-08T12:15:36Z</dcterms:created>
  <dcterms:modified xsi:type="dcterms:W3CDTF">2022-01-11T09:54:54Z</dcterms:modified>
</cp:coreProperties>
</file>